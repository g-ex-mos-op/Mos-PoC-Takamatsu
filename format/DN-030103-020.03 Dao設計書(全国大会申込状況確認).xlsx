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k2910\Documents\Mos-PoC-Takamatsu\format\"/>
    </mc:Choice>
  </mc:AlternateContent>
  <xr:revisionPtr revIDLastSave="0" documentId="8_{C39A156D-8DE2-4BDD-95E5-61A7ED44B199}" xr6:coauthVersionLast="47" xr6:coauthVersionMax="47" xr10:uidLastSave="{00000000-0000-0000-0000-000000000000}"/>
  <bookViews>
    <workbookView xWindow="-110" yWindow="-110" windowWidth="19420" windowHeight="10300" tabRatio="788" firstSheet="8" activeTab="9" xr2:uid="{0625ACE4-8E91-4721-A8B7-3FC8031E8A2C}"/>
  </bookViews>
  <sheets>
    <sheet name="変更履歴" sheetId="99" r:id="rId1"/>
    <sheet name="設定＆実行" sheetId="28" r:id="rId2"/>
    <sheet name="記述例" sheetId="67" r:id="rId3"/>
    <sheet name="対象エントリー情報(UIEntryStatusInfo)" sheetId="90" r:id="rId4"/>
    <sheet name="会社リスト(CodCompany)" sheetId="97" r:id="rId5"/>
    <sheet name="支部リスト(CodSibu)" sheetId="95" r:id="rId6"/>
    <sheet name="SVリスト(CodSv)" sheetId="98" r:id="rId7"/>
    <sheet name="出欠件数情報(UIAttendAbsentCntInfo)" sheetId="96" r:id="rId8"/>
    <sheet name="申込状況一覧(UISibuOnerStatusList)" sheetId="88" r:id="rId9"/>
    <sheet name="CSV申込状況一覧(UICsvStatusList)" sheetId="91" r:id="rId10"/>
    <sheet name="セレクション情報(UINatiEntrySelectInfo)" sheetId="100" r:id="rId11"/>
  </sheets>
  <definedNames>
    <definedName name="EntityClassPath">#REF!</definedName>
    <definedName name="HTML_CodePage" hidden="1">932</definedName>
    <definedName name="HTML_Control" localSheetId="9" hidden="1">{"'Scenario'!$A$1:$I$47"}</definedName>
    <definedName name="HTML_Control" localSheetId="6" hidden="1">{"'Scenario'!$A$1:$I$47"}</definedName>
    <definedName name="HTML_Control" localSheetId="10" hidden="1">{"'Scenario'!$A$1:$I$47"}</definedName>
    <definedName name="HTML_Control" localSheetId="4" hidden="1">{"'Scenario'!$A$1:$I$47"}</definedName>
    <definedName name="HTML_Control" localSheetId="2" hidden="1">{"'Scenario'!$A$1:$I$47"}</definedName>
    <definedName name="HTML_Control" localSheetId="5" hidden="1">{"'Scenario'!$A$1:$I$47"}</definedName>
    <definedName name="HTML_Control" localSheetId="7" hidden="1">{"'Scenario'!$A$1:$I$47"}</definedName>
    <definedName name="HTML_Control" localSheetId="8" hidden="1">{"'Scenario'!$A$1:$I$47"}</definedName>
    <definedName name="HTML_Control" localSheetId="3" hidden="1">{"'Scenario'!$A$1:$I$47"}</definedName>
    <definedName name="HTML_Control" hidden="1">{"'Scenario'!$A$1:$I$47"}</definedName>
    <definedName name="HTML_Description" hidden="1">""</definedName>
    <definedName name="HTML_Email" hidden="1">""</definedName>
    <definedName name="HTML_Header" hidden="1">"Scenario"</definedName>
    <definedName name="HTML_LastUpdate" hidden="1">"01/04/10"</definedName>
    <definedName name="HTML_LineAfter" hidden="1">FALSE</definedName>
    <definedName name="HTML_LineBefore" hidden="1">FALSE</definedName>
    <definedName name="HTML_Name" hidden="1">"H.Takamatsu"</definedName>
    <definedName name="HTML_OBDlg2" hidden="1">TRUE</definedName>
    <definedName name="HTML_OBDlg4" hidden="1">TRUE</definedName>
    <definedName name="HTML_OS" hidden="1">0</definedName>
    <definedName name="HTML_PathFile" hidden="1">"C:\WINNT\Profiles\takayan\Personal\MyHTML.htm"</definedName>
    <definedName name="HTML_Title" hidden="1">"EntitiesNew"</definedName>
    <definedName name="MethodClassPath">#REF!</definedName>
    <definedName name="_xlnm.Print_Area" localSheetId="9">'CSV申込状況一覧(UICsvStatusList)'!$A$1:$G$153</definedName>
    <definedName name="_xlnm.Print_Area" localSheetId="6">'SVリスト(CodSv)'!$A$1:$G$38</definedName>
    <definedName name="_xlnm.Print_Area" localSheetId="10">'セレクション情報(UINatiEntrySelectInfo)'!$A$1:$H$46</definedName>
    <definedName name="_xlnm.Print_Area" localSheetId="4">'会社リスト(CodCompany)'!$A$1:$H$43</definedName>
    <definedName name="_xlnm.Print_Area" localSheetId="2">記述例!$A$1:$I$22</definedName>
    <definedName name="_xlnm.Print_Area" localSheetId="5">'支部リスト(CodSibu)'!$A$1:$G$47</definedName>
    <definedName name="_xlnm.Print_Area" localSheetId="7">'出欠件数情報(UIAttendAbsentCntInfo)'!$A$1:$G$145</definedName>
    <definedName name="_xlnm.Print_Area" localSheetId="8">'申込状況一覧(UISibuOnerStatusList)'!$A$1:$G$96</definedName>
    <definedName name="_xlnm.Print_Area" localSheetId="1">'設定＆実行'!$A$1:$J$20</definedName>
    <definedName name="_xlnm.Print_Area" localSheetId="3">'対象エントリー情報(UIEntryStatusInfo)'!$A$1:$G$91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91" l="1"/>
  <c r="A52" i="91"/>
  <c r="A51" i="91"/>
  <c r="A50" i="91"/>
  <c r="A49" i="91"/>
  <c r="A48" i="91"/>
  <c r="A47" i="91"/>
  <c r="A46" i="91"/>
  <c r="A45" i="91"/>
  <c r="A44" i="91"/>
  <c r="A43" i="91"/>
  <c r="A42" i="91"/>
  <c r="A41" i="91"/>
  <c r="A40" i="91"/>
  <c r="A39" i="91"/>
  <c r="A38" i="91"/>
  <c r="C2" i="100"/>
  <c r="A14" i="100"/>
  <c r="A13" i="100"/>
  <c r="A12" i="100"/>
  <c r="A54" i="91"/>
  <c r="A24" i="91"/>
  <c r="A15" i="90"/>
  <c r="A16" i="88"/>
  <c r="A15" i="98"/>
  <c r="A14" i="98"/>
  <c r="A13" i="98"/>
  <c r="C2" i="98"/>
  <c r="E2" i="98"/>
  <c r="G2" i="98"/>
  <c r="A12" i="98"/>
  <c r="A13" i="97"/>
  <c r="A12" i="97"/>
  <c r="C2" i="97"/>
  <c r="E2" i="97"/>
  <c r="G2" i="97"/>
  <c r="A32" i="91"/>
  <c r="A33" i="91"/>
  <c r="A34" i="91"/>
  <c r="A35" i="91"/>
  <c r="A36" i="91"/>
  <c r="A37" i="91"/>
  <c r="A55" i="91"/>
  <c r="G2" i="91"/>
  <c r="C2" i="91"/>
  <c r="G2" i="95"/>
  <c r="E2" i="95"/>
  <c r="C2" i="95"/>
  <c r="G2" i="96"/>
  <c r="E2" i="96"/>
  <c r="C2" i="96"/>
  <c r="E2" i="90"/>
  <c r="G2" i="90"/>
  <c r="C2" i="90"/>
  <c r="A16" i="96"/>
  <c r="A12" i="96"/>
  <c r="A15" i="96"/>
  <c r="A14" i="96"/>
  <c r="A13" i="96"/>
  <c r="A16" i="91"/>
  <c r="A25" i="91"/>
  <c r="A17" i="96"/>
  <c r="A14" i="95"/>
  <c r="A13" i="95"/>
  <c r="A12" i="95"/>
  <c r="A17" i="88"/>
  <c r="A12" i="88"/>
  <c r="A23" i="90"/>
  <c r="A21" i="90"/>
  <c r="A20" i="90"/>
  <c r="A16" i="90"/>
  <c r="A13" i="90"/>
  <c r="A14" i="90"/>
  <c r="A17" i="90"/>
  <c r="A18" i="90"/>
  <c r="A19" i="90"/>
  <c r="A22" i="90"/>
  <c r="A56" i="91"/>
  <c r="A57" i="91"/>
  <c r="A58" i="91"/>
  <c r="A14" i="88"/>
  <c r="A15" i="88"/>
  <c r="A13" i="91"/>
  <c r="A14" i="91"/>
  <c r="A15" i="91"/>
  <c r="A17" i="91"/>
  <c r="A18" i="91"/>
  <c r="A19" i="91"/>
  <c r="A20" i="91"/>
  <c r="A21" i="91"/>
  <c r="A22" i="91"/>
  <c r="A23" i="91"/>
  <c r="A26" i="91"/>
  <c r="A27" i="91"/>
  <c r="A28" i="91"/>
  <c r="A29" i="91"/>
  <c r="A30" i="91"/>
  <c r="A31" i="91"/>
  <c r="A12" i="91"/>
  <c r="A12" i="90"/>
  <c r="A13" i="88"/>
</calcChain>
</file>

<file path=xl/sharedStrings.xml><?xml version="1.0" encoding="utf-8"?>
<sst xmlns="http://schemas.openxmlformats.org/spreadsheetml/2006/main" count="1479" uniqueCount="769">
  <si>
    <t>グループ結合オーナマスタ.オーナーコード</t>
    <phoneticPr fontId="5"/>
  </si>
  <si>
    <t>店統合マスタ.オーナーコード</t>
    <phoneticPr fontId="5"/>
  </si>
  <si>
    <t>BM11ONER : BM01TENM</t>
    <phoneticPr fontId="5"/>
  </si>
  <si>
    <t>当方連結キー</t>
    <phoneticPr fontId="5"/>
  </si>
  <si>
    <t>BM50TANM</t>
    <phoneticPr fontId="5"/>
  </si>
  <si>
    <t>BM11ONER</t>
    <phoneticPr fontId="5"/>
  </si>
  <si>
    <t>SV担当店舗</t>
    <phoneticPr fontId="5"/>
  </si>
  <si>
    <t>汎用店舗グループ（支部）.支部コード</t>
    <rPh sb="13" eb="15">
      <t>シブ</t>
    </rPh>
    <phoneticPr fontId="5"/>
  </si>
  <si>
    <t>オーナーコード</t>
    <phoneticPr fontId="5"/>
  </si>
  <si>
    <t>昇順</t>
    <rPh sb="0" eb="2">
      <t>ショウジュン</t>
    </rPh>
    <phoneticPr fontId="5"/>
  </si>
  <si>
    <t>BM51SVSB</t>
    <phoneticPr fontId="5"/>
  </si>
  <si>
    <t>BM51SVSB : BM10GSIB</t>
    <phoneticPr fontId="5"/>
  </si>
  <si>
    <t>SV担当支部.会社コード</t>
    <rPh sb="7" eb="9">
      <t>カイシャ</t>
    </rPh>
    <phoneticPr fontId="5"/>
  </si>
  <si>
    <t>汎用店舗グループ（支部）.会社コード</t>
    <rPh sb="13" eb="15">
      <t>カイシャ</t>
    </rPh>
    <phoneticPr fontId="5"/>
  </si>
  <si>
    <t>SV担当支部.支部コード</t>
    <rPh sb="7" eb="9">
      <t>シブ</t>
    </rPh>
    <phoneticPr fontId="5"/>
  </si>
  <si>
    <t>汎用店舗グループ（支部）.本部コード &lt; 20000</t>
    <rPh sb="13" eb="15">
      <t>ホンブ</t>
    </rPh>
    <phoneticPr fontId="5"/>
  </si>
  <si>
    <t>SV担当支部</t>
    <phoneticPr fontId="5"/>
  </si>
  <si>
    <t>SV担当支部.SVコード = （ユーザID）</t>
    <phoneticPr fontId="5"/>
  </si>
  <si>
    <t>ユーザ制限フラグ</t>
    <rPh sb="3" eb="5">
      <t>セイゲン</t>
    </rPh>
    <phoneticPr fontId="5"/>
  </si>
  <si>
    <t>ユーザID</t>
    <phoneticPr fontId="5"/>
  </si>
  <si>
    <t>対象事業方針説明会結果確認CSV(select())</t>
    <phoneticPr fontId="5"/>
  </si>
  <si>
    <t>String</t>
    <phoneticPr fontId="5"/>
  </si>
  <si>
    <t>支部</t>
    <rPh sb="0" eb="2">
      <t>シブ</t>
    </rPh>
    <phoneticPr fontId="5"/>
  </si>
  <si>
    <t>BM11ONER</t>
  </si>
  <si>
    <t>オーナーコード</t>
  </si>
  <si>
    <t>BM10GSIB</t>
  </si>
  <si>
    <t>BM10GSIB</t>
    <phoneticPr fontId="5"/>
  </si>
  <si>
    <t>プロパティ名</t>
    <phoneticPr fontId="5"/>
  </si>
  <si>
    <t>CHAR(5)</t>
    <phoneticPr fontId="5"/>
  </si>
  <si>
    <t>ONER_CD</t>
    <phoneticPr fontId="5"/>
  </si>
  <si>
    <t>CHAR(40)</t>
    <phoneticPr fontId="5"/>
  </si>
  <si>
    <t>ONER_NAME_KJ</t>
    <phoneticPr fontId="5"/>
  </si>
  <si>
    <t>SIBU_CD</t>
    <phoneticPr fontId="5"/>
  </si>
  <si>
    <t>CHAR(40)</t>
    <phoneticPr fontId="5"/>
  </si>
  <si>
    <t>MISE_CD</t>
    <phoneticPr fontId="5"/>
  </si>
  <si>
    <t>MISE_NAME_KJ</t>
    <phoneticPr fontId="5"/>
  </si>
  <si>
    <t>BM01TENM</t>
    <phoneticPr fontId="5"/>
  </si>
  <si>
    <t>SEX</t>
    <phoneticPr fontId="5"/>
  </si>
  <si>
    <t>支部コード</t>
  </si>
  <si>
    <t>支部名称</t>
  </si>
  <si>
    <t>オーナー名称</t>
  </si>
  <si>
    <t>店舗コード</t>
  </si>
  <si>
    <t>店舗名称</t>
  </si>
  <si>
    <t>参加者氏（漢字）</t>
  </si>
  <si>
    <t>参加者名（漢字）</t>
  </si>
  <si>
    <t>参加者氏（フリガナ）</t>
  </si>
  <si>
    <t>参加者名（フリガナ）</t>
  </si>
  <si>
    <t>性別</t>
  </si>
  <si>
    <t>オーナー契約終了日</t>
  </si>
  <si>
    <t>L_NAME_KJ</t>
    <phoneticPr fontId="5"/>
  </si>
  <si>
    <t>F_NAME_KJ</t>
    <phoneticPr fontId="5"/>
  </si>
  <si>
    <t>F_NAME_KNA</t>
    <phoneticPr fontId="5"/>
  </si>
  <si>
    <t>CHAR(20)</t>
  </si>
  <si>
    <t>L_NAME_KNA</t>
    <phoneticPr fontId="5"/>
  </si>
  <si>
    <t>BM10GSIB</t>
    <phoneticPr fontId="5"/>
  </si>
  <si>
    <t>SQL</t>
    <phoneticPr fontId="5"/>
  </si>
  <si>
    <t>SQL</t>
    <phoneticPr fontId="5"/>
  </si>
  <si>
    <t>SIBU_NAME</t>
    <phoneticPr fontId="5"/>
  </si>
  <si>
    <t>CHAR(40)</t>
    <phoneticPr fontId="5"/>
  </si>
  <si>
    <t>CHAR(20)</t>
    <phoneticPr fontId="5"/>
  </si>
  <si>
    <t>CHAR(1)</t>
    <phoneticPr fontId="5"/>
  </si>
  <si>
    <t>男'　or　'女'</t>
    <rPh sb="0" eb="1">
      <t>オトコ</t>
    </rPh>
    <rPh sb="7" eb="8">
      <t>オンナ</t>
    </rPh>
    <phoneticPr fontId="5"/>
  </si>
  <si>
    <t>論理名</t>
  </si>
  <si>
    <t>Java型</t>
  </si>
  <si>
    <t>列型</t>
  </si>
  <si>
    <t>参照</t>
  </si>
  <si>
    <t>説明</t>
  </si>
  <si>
    <t>String</t>
  </si>
  <si>
    <t>クレーム情報(UIClaimInfo)</t>
    <rPh sb="4" eb="6">
      <t>ジョウホウ</t>
    </rPh>
    <phoneticPr fontId="5"/>
  </si>
  <si>
    <t>クレーム情報を取得する</t>
    <rPh sb="4" eb="6">
      <t>ジョウホウ</t>
    </rPh>
    <rPh sb="7" eb="9">
      <t>シュトク</t>
    </rPh>
    <phoneticPr fontId="5"/>
  </si>
  <si>
    <t>受信日</t>
    <rPh sb="0" eb="3">
      <t>ジュシンビ</t>
    </rPh>
    <phoneticPr fontId="5"/>
  </si>
  <si>
    <t>店コード</t>
  </si>
  <si>
    <t>店名称</t>
    <rPh sb="1" eb="3">
      <t>メイショウ</t>
    </rPh>
    <phoneticPr fontId="5"/>
  </si>
  <si>
    <t>支部コード</t>
    <rPh sb="0" eb="2">
      <t>シブ</t>
    </rPh>
    <phoneticPr fontId="5"/>
  </si>
  <si>
    <t>支部名称</t>
    <rPh sb="0" eb="2">
      <t>シブ</t>
    </rPh>
    <rPh sb="2" eb="4">
      <t>メイショウ</t>
    </rPh>
    <phoneticPr fontId="5"/>
  </si>
  <si>
    <t>店舗対応</t>
  </si>
  <si>
    <t>CHAR(5)</t>
    <phoneticPr fontId="5"/>
  </si>
  <si>
    <t>受信した日</t>
    <rPh sb="0" eb="2">
      <t>ジュシン</t>
    </rPh>
    <rPh sb="4" eb="5">
      <t>ヒ</t>
    </rPh>
    <phoneticPr fontId="5"/>
  </si>
  <si>
    <t>店コード</t>
    <rPh sb="0" eb="1">
      <t>ミセ</t>
    </rPh>
    <phoneticPr fontId="5"/>
  </si>
  <si>
    <t>店名称</t>
    <rPh sb="0" eb="1">
      <t>ミセ</t>
    </rPh>
    <rPh sb="1" eb="3">
      <t>メイショウ</t>
    </rPh>
    <phoneticPr fontId="5"/>
  </si>
  <si>
    <t>MISE_CD</t>
    <phoneticPr fontId="5"/>
  </si>
  <si>
    <t>エンティティ出力先</t>
    <rPh sb="6" eb="8">
      <t>シュツリョク</t>
    </rPh>
    <rPh sb="8" eb="9">
      <t>サキ</t>
    </rPh>
    <phoneticPr fontId="5"/>
  </si>
  <si>
    <t>作成対象シート</t>
    <rPh sb="0" eb="2">
      <t>サクセイ</t>
    </rPh>
    <rPh sb="2" eb="4">
      <t>タイショウ</t>
    </rPh>
    <phoneticPr fontId="5"/>
  </si>
  <si>
    <t>管理番号：DN-010104-003.01
分類　　　：開発標準化</t>
    <rPh sb="28" eb="30">
      <t>カイハツ</t>
    </rPh>
    <rPh sb="30" eb="33">
      <t>ヒョウジュンカ</t>
    </rPh>
    <phoneticPr fontId="5"/>
  </si>
  <si>
    <t>jp.co.isid.mos.bird.communication.cliaminfo.logic.entity.UIClaimInfo</t>
    <phoneticPr fontId="5"/>
  </si>
  <si>
    <t>WT18CLAM</t>
    <phoneticPr fontId="5"/>
  </si>
  <si>
    <t>プロパティ名</t>
    <phoneticPr fontId="5"/>
  </si>
  <si>
    <t>管理番号</t>
    <phoneticPr fontId="5"/>
  </si>
  <si>
    <t>CHAR(11)</t>
    <phoneticPr fontId="5"/>
  </si>
  <si>
    <t>CLAIM_NO</t>
    <phoneticPr fontId="5"/>
  </si>
  <si>
    <t>CHAR(40)</t>
    <phoneticPr fontId="5"/>
  </si>
  <si>
    <t>MISE_NAME_KJ</t>
    <phoneticPr fontId="5"/>
  </si>
  <si>
    <t>CHAR(20)</t>
    <phoneticPr fontId="5"/>
  </si>
  <si>
    <t>SIBU_NAME</t>
    <phoneticPr fontId="5"/>
  </si>
  <si>
    <t>中分類名称</t>
    <phoneticPr fontId="5"/>
  </si>
  <si>
    <t>CHAR(52)</t>
    <phoneticPr fontId="5"/>
  </si>
  <si>
    <t>BNR_M_NAME</t>
    <phoneticPr fontId="5"/>
  </si>
  <si>
    <t>分類名１</t>
    <phoneticPr fontId="5"/>
  </si>
  <si>
    <t>小分類名称</t>
    <phoneticPr fontId="5"/>
  </si>
  <si>
    <t>BNR_S_NAME</t>
    <phoneticPr fontId="5"/>
  </si>
  <si>
    <t>分類名２</t>
    <phoneticPr fontId="5"/>
  </si>
  <si>
    <t>内容</t>
    <phoneticPr fontId="5"/>
  </si>
  <si>
    <t>VCHAR(1024)</t>
    <phoneticPr fontId="5"/>
  </si>
  <si>
    <t>NAIYOU</t>
    <phoneticPr fontId="5"/>
  </si>
  <si>
    <t>お客様の声（要約）</t>
    <phoneticPr fontId="5"/>
  </si>
  <si>
    <t>CHAR(1024)</t>
    <phoneticPr fontId="5"/>
  </si>
  <si>
    <t>TENPO_TAIOU</t>
    <phoneticPr fontId="5"/>
  </si>
  <si>
    <t>報告内容</t>
    <phoneticPr fontId="5"/>
  </si>
  <si>
    <t>CHAR(8)</t>
    <phoneticPr fontId="5"/>
  </si>
  <si>
    <t>JUSIN_DT</t>
    <phoneticPr fontId="5"/>
  </si>
  <si>
    <t>CHAR(3)</t>
    <phoneticPr fontId="5"/>
  </si>
  <si>
    <t>SIBU_CD</t>
    <phoneticPr fontId="5"/>
  </si>
  <si>
    <t>claimNo</t>
    <phoneticPr fontId="5"/>
  </si>
  <si>
    <t>naiyou</t>
  </si>
  <si>
    <t>jusinDt</t>
    <phoneticPr fontId="5"/>
  </si>
  <si>
    <t>miseCd</t>
    <phoneticPr fontId="5"/>
  </si>
  <si>
    <t>miseNameKj</t>
    <phoneticPr fontId="5"/>
  </si>
  <si>
    <t>sibuCd</t>
    <phoneticPr fontId="5"/>
  </si>
  <si>
    <t>sibuName</t>
    <phoneticPr fontId="5"/>
  </si>
  <si>
    <t>bnrMname</t>
    <phoneticPr fontId="5"/>
  </si>
  <si>
    <t>bnrSname</t>
    <phoneticPr fontId="5"/>
  </si>
  <si>
    <t>tenpoTaiou</t>
    <phoneticPr fontId="5"/>
  </si>
  <si>
    <t>[BIRD]Dao設計書</t>
    <rPh sb="9" eb="12">
      <t>セッケイショ</t>
    </rPh>
    <phoneticPr fontId="5"/>
  </si>
  <si>
    <t>Dao情報</t>
    <rPh sb="3" eb="5">
      <t>ジョウホウ</t>
    </rPh>
    <phoneticPr fontId="5"/>
  </si>
  <si>
    <t>対象テーブル</t>
    <rPh sb="0" eb="2">
      <t>タイショウ</t>
    </rPh>
    <phoneticPr fontId="5"/>
  </si>
  <si>
    <t>更新者：ISID-IT 松本
更新日：2006/01/16</t>
  </si>
  <si>
    <t>作成者：ISID-IT 松本
作成日：2006/01/16</t>
  </si>
  <si>
    <t>パラメータ情報</t>
    <rPh sb="5" eb="7">
      <t>ジョウホウ</t>
    </rPh>
    <phoneticPr fontId="5"/>
  </si>
  <si>
    <t>使用テーブル</t>
    <rPh sb="0" eb="2">
      <t>シヨウ</t>
    </rPh>
    <phoneticPr fontId="5"/>
  </si>
  <si>
    <t>JOIN情報</t>
    <rPh sb="4" eb="6">
      <t>ジョウホウ</t>
    </rPh>
    <phoneticPr fontId="5"/>
  </si>
  <si>
    <t>条件</t>
    <rPh sb="0" eb="2">
      <t>ジョウケン</t>
    </rPh>
    <phoneticPr fontId="5"/>
  </si>
  <si>
    <t>ソート情報</t>
    <rPh sb="3" eb="5">
      <t>ジョウホウ</t>
    </rPh>
    <phoneticPr fontId="5"/>
  </si>
  <si>
    <t>CHAR(2)</t>
    <phoneticPr fontId="5"/>
  </si>
  <si>
    <t>C:\Temp</t>
    <phoneticPr fontId="5"/>
  </si>
  <si>
    <t>システム日付</t>
    <rPh sb="4" eb="6">
      <t>ヒヅケ</t>
    </rPh>
    <phoneticPr fontId="5"/>
  </si>
  <si>
    <t>BR18ENTD</t>
    <phoneticPr fontId="5"/>
  </si>
  <si>
    <t>CHAR(8)</t>
  </si>
  <si>
    <t>オーナー名称</t>
    <rPh sb="4" eb="6">
      <t>メイショウ</t>
    </rPh>
    <phoneticPr fontId="5"/>
  </si>
  <si>
    <t>BM01TENM</t>
    <phoneticPr fontId="5"/>
  </si>
  <si>
    <t>CHAR(40)</t>
    <phoneticPr fontId="5"/>
  </si>
  <si>
    <t>エントリー日付管理</t>
    <rPh sb="5" eb="7">
      <t>ヒヅケ</t>
    </rPh>
    <rPh sb="7" eb="9">
      <t>カンリ</t>
    </rPh>
    <phoneticPr fontId="5"/>
  </si>
  <si>
    <t>オーナーコード</t>
    <phoneticPr fontId="5"/>
  </si>
  <si>
    <t>CHAR(5)</t>
    <phoneticPr fontId="5"/>
  </si>
  <si>
    <t>ONER_NAME_KJ</t>
    <phoneticPr fontId="5"/>
  </si>
  <si>
    <t>BM11ONER</t>
    <phoneticPr fontId="5"/>
  </si>
  <si>
    <t>BM12STAF</t>
  </si>
  <si>
    <t>管理番号：DN-030103-014.01
分類　　　：Dao設計書</t>
    <rPh sb="0" eb="2">
      <t>カンリ</t>
    </rPh>
    <rPh sb="2" eb="4">
      <t>バンゴウ</t>
    </rPh>
    <rPh sb="22" eb="24">
      <t>ブンルイ</t>
    </rPh>
    <rPh sb="31" eb="34">
      <t>セッケイショ</t>
    </rPh>
    <phoneticPr fontId="5"/>
  </si>
  <si>
    <t>作成者：ASPAC 丸山
作成日：2006/11/16</t>
    <rPh sb="10" eb="12">
      <t>マルヤマ</t>
    </rPh>
    <phoneticPr fontId="5"/>
  </si>
  <si>
    <t>更新者：
更新日：</t>
    <phoneticPr fontId="5"/>
  </si>
  <si>
    <t>BR18ENTD</t>
    <phoneticPr fontId="5"/>
  </si>
  <si>
    <t>BR18ENTD</t>
    <phoneticPr fontId="5"/>
  </si>
  <si>
    <t>BR17ENTL</t>
    <phoneticPr fontId="5"/>
  </si>
  <si>
    <t>プロパティ名</t>
    <phoneticPr fontId="5"/>
  </si>
  <si>
    <t>BR17ENTL</t>
  </si>
  <si>
    <t>CHAR(4)</t>
    <phoneticPr fontId="5"/>
  </si>
  <si>
    <t>CHAR(100)</t>
    <phoneticPr fontId="5"/>
  </si>
  <si>
    <t>ENTRY_TITLE</t>
    <phoneticPr fontId="5"/>
  </si>
  <si>
    <t>登録画面では最大全角30文字以内</t>
    <rPh sb="0" eb="2">
      <t>トウロク</t>
    </rPh>
    <rPh sb="2" eb="4">
      <t>ガメン</t>
    </rPh>
    <rPh sb="6" eb="8">
      <t>サイダイ</t>
    </rPh>
    <rPh sb="8" eb="9">
      <t>ゼン</t>
    </rPh>
    <rPh sb="9" eb="10">
      <t>カク</t>
    </rPh>
    <rPh sb="12" eb="14">
      <t>モジ</t>
    </rPh>
    <rPh sb="14" eb="16">
      <t>イナイ</t>
    </rPh>
    <phoneticPr fontId="5"/>
  </si>
  <si>
    <t>NOTE</t>
    <phoneticPr fontId="5"/>
  </si>
  <si>
    <t>エントリーマスタ管理</t>
    <rPh sb="8" eb="10">
      <t>カンリ</t>
    </rPh>
    <phoneticPr fontId="5"/>
  </si>
  <si>
    <t>ENTRY_CD</t>
    <phoneticPr fontId="5"/>
  </si>
  <si>
    <t>エントリーコード</t>
    <phoneticPr fontId="5"/>
  </si>
  <si>
    <t>ONER_CD</t>
    <phoneticPr fontId="5"/>
  </si>
  <si>
    <t>SQL</t>
    <phoneticPr fontId="5"/>
  </si>
  <si>
    <t>BT46KENS</t>
    <phoneticPr fontId="5"/>
  </si>
  <si>
    <t>グループ結合オーナマスタ</t>
    <rPh sb="4" eb="6">
      <t>ケツゴウ</t>
    </rPh>
    <phoneticPr fontId="5"/>
  </si>
  <si>
    <t>汎用店舗グループ（支部）</t>
    <rPh sb="0" eb="2">
      <t>ハンヨウ</t>
    </rPh>
    <rPh sb="2" eb="4">
      <t>テンポ</t>
    </rPh>
    <rPh sb="9" eb="11">
      <t>シブ</t>
    </rPh>
    <phoneticPr fontId="5"/>
  </si>
  <si>
    <t>加盟店スタッフマスタ</t>
    <rPh sb="0" eb="2">
      <t>カメイ</t>
    </rPh>
    <rPh sb="2" eb="3">
      <t>テン</t>
    </rPh>
    <phoneticPr fontId="5"/>
  </si>
  <si>
    <t>グループ統合オーナマスタ</t>
    <rPh sb="4" eb="6">
      <t>トウゴウ</t>
    </rPh>
    <phoneticPr fontId="5"/>
  </si>
  <si>
    <t>BM11ONER</t>
    <phoneticPr fontId="5"/>
  </si>
  <si>
    <t>KEIYAKU_END</t>
    <phoneticPr fontId="5"/>
  </si>
  <si>
    <t>LAST_USER</t>
    <phoneticPr fontId="5"/>
  </si>
  <si>
    <t>店統合マスタ</t>
    <phoneticPr fontId="5"/>
  </si>
  <si>
    <t>CHAR(8)</t>
    <phoneticPr fontId="5"/>
  </si>
  <si>
    <t>更新者ID</t>
    <phoneticPr fontId="5"/>
  </si>
  <si>
    <t>Birdユーザ</t>
    <phoneticPr fontId="5"/>
  </si>
  <si>
    <t>BR01USER</t>
  </si>
  <si>
    <t>BT21ENOJ</t>
    <phoneticPr fontId="5"/>
  </si>
  <si>
    <t>エントリーオーナー宛先情報</t>
    <rPh sb="9" eb="11">
      <t>アテサキ</t>
    </rPh>
    <rPh sb="11" eb="13">
      <t>ジョウホウ</t>
    </rPh>
    <phoneticPr fontId="5"/>
  </si>
  <si>
    <t>ENTRY_YEAR</t>
    <phoneticPr fontId="5"/>
  </si>
  <si>
    <t>CHAR(3)</t>
    <phoneticPr fontId="5"/>
  </si>
  <si>
    <t>ENTRY_KAI</t>
    <phoneticPr fontId="5"/>
  </si>
  <si>
    <t>エントリー年</t>
    <rPh sb="5" eb="6">
      <t>ネン</t>
    </rPh>
    <phoneticPr fontId="5"/>
  </si>
  <si>
    <t>エントリー回</t>
    <rPh sb="5" eb="6">
      <t>カイ</t>
    </rPh>
    <phoneticPr fontId="5"/>
  </si>
  <si>
    <t>事業方針説明会出欠一覧を取得する。</t>
    <rPh sb="0" eb="2">
      <t>ジギョウ</t>
    </rPh>
    <rPh sb="2" eb="4">
      <t>ホウシン</t>
    </rPh>
    <rPh sb="4" eb="7">
      <t>セツメイカイ</t>
    </rPh>
    <rPh sb="7" eb="9">
      <t>シュッケツ</t>
    </rPh>
    <rPh sb="9" eb="11">
      <t>イチラン</t>
    </rPh>
    <rPh sb="12" eb="14">
      <t>シュトク</t>
    </rPh>
    <phoneticPr fontId="5"/>
  </si>
  <si>
    <t>String</t>
    <phoneticPr fontId="5"/>
  </si>
  <si>
    <t>エントリータイトル（説明会名称）</t>
    <rPh sb="10" eb="13">
      <t>セツメイカイ</t>
    </rPh>
    <rPh sb="13" eb="15">
      <t>メイショウ</t>
    </rPh>
    <phoneticPr fontId="5"/>
  </si>
  <si>
    <t>開始日（本部申込開始日）</t>
    <rPh sb="0" eb="3">
      <t>カイシビ</t>
    </rPh>
    <phoneticPr fontId="5"/>
  </si>
  <si>
    <t>HONBU_FROM_DT</t>
    <phoneticPr fontId="5"/>
  </si>
  <si>
    <t>HONBU_TO_DT</t>
    <phoneticPr fontId="5"/>
  </si>
  <si>
    <t>終了日(本部申込終了日)</t>
    <rPh sb="0" eb="3">
      <t>シュウリョウビ</t>
    </rPh>
    <phoneticPr fontId="5"/>
  </si>
  <si>
    <t>ONER_FROM_DT</t>
    <phoneticPr fontId="5"/>
  </si>
  <si>
    <t>ONER_TO_DT</t>
    <phoneticPr fontId="5"/>
  </si>
  <si>
    <t>開始日（オーナー申込開始日）</t>
    <rPh sb="0" eb="3">
      <t>カイシビ</t>
    </rPh>
    <phoneticPr fontId="5"/>
  </si>
  <si>
    <t>終了日(オーナー申込終了日)</t>
    <rPh sb="0" eb="3">
      <t>シュウリョウビ</t>
    </rPh>
    <phoneticPr fontId="5"/>
  </si>
  <si>
    <t>String</t>
    <phoneticPr fontId="5"/>
  </si>
  <si>
    <t>COMPANY_CD</t>
  </si>
  <si>
    <t>SIBU_CD</t>
  </si>
  <si>
    <t>SIBU_NAME</t>
  </si>
  <si>
    <t>会社コード</t>
    <rPh sb="0" eb="2">
      <t>カイシャ</t>
    </rPh>
    <phoneticPr fontId="5"/>
  </si>
  <si>
    <t>BM10GSIB</t>
    <phoneticPr fontId="5"/>
  </si>
  <si>
    <t>SIBU_CD</t>
    <phoneticPr fontId="5"/>
  </si>
  <si>
    <t>CSV関連のデータを取得する。</t>
    <rPh sb="3" eb="5">
      <t>カンレン</t>
    </rPh>
    <rPh sb="10" eb="12">
      <t>シュトク</t>
    </rPh>
    <phoneticPr fontId="5"/>
  </si>
  <si>
    <t>AGE</t>
    <phoneticPr fontId="5"/>
  </si>
  <si>
    <t>年齢</t>
    <rPh sb="0" eb="2">
      <t>ネンレイ</t>
    </rPh>
    <phoneticPr fontId="5"/>
  </si>
  <si>
    <t>USER_NAME_KJ</t>
    <phoneticPr fontId="5"/>
  </si>
  <si>
    <t>BR01USER</t>
    <phoneticPr fontId="5"/>
  </si>
  <si>
    <t>更新者名称</t>
    <rPh sb="0" eb="3">
      <t>コウシンシャ</t>
    </rPh>
    <rPh sb="3" eb="5">
      <t>メイショウ</t>
    </rPh>
    <phoneticPr fontId="5"/>
  </si>
  <si>
    <t>エントリーコード</t>
    <phoneticPr fontId="5"/>
  </si>
  <si>
    <t>ATTEND_CNT</t>
    <phoneticPr fontId="5"/>
  </si>
  <si>
    <t>ABSENT_CNT</t>
    <phoneticPr fontId="5"/>
  </si>
  <si>
    <t>Virtual</t>
    <phoneticPr fontId="5"/>
  </si>
  <si>
    <t>未登録オーナー</t>
    <rPh sb="0" eb="3">
      <t>ミトウロク</t>
    </rPh>
    <phoneticPr fontId="5"/>
  </si>
  <si>
    <t>ONER_ATTEND_CNT</t>
    <phoneticPr fontId="5"/>
  </si>
  <si>
    <t>ONER_ABSENT_CNT</t>
    <phoneticPr fontId="5"/>
  </si>
  <si>
    <t>ONER_NOREGIST_CNT</t>
    <phoneticPr fontId="5"/>
  </si>
  <si>
    <t>DEC（5）</t>
    <phoneticPr fontId="5"/>
  </si>
  <si>
    <t>java.math.BigDecimal</t>
    <phoneticPr fontId="5"/>
  </si>
  <si>
    <t>DEC（6）</t>
    <phoneticPr fontId="5"/>
  </si>
  <si>
    <t>ONER_TOTAL_CNT</t>
    <phoneticPr fontId="5"/>
  </si>
  <si>
    <t>全オーナー数</t>
    <rPh sb="0" eb="1">
      <t>ゼン</t>
    </rPh>
    <rPh sb="5" eb="6">
      <t>スウ</t>
    </rPh>
    <phoneticPr fontId="5"/>
  </si>
  <si>
    <t>結合条件</t>
    <rPh sb="0" eb="2">
      <t>ケツゴウ</t>
    </rPh>
    <rPh sb="2" eb="4">
      <t>ジョウケン</t>
    </rPh>
    <phoneticPr fontId="5"/>
  </si>
  <si>
    <t>INNER</t>
    <phoneticPr fontId="5"/>
  </si>
  <si>
    <t>当方連結キー</t>
  </si>
  <si>
    <t>エントリーマスタ管理.エントリーコード</t>
    <phoneticPr fontId="5"/>
  </si>
  <si>
    <t>先方連結キー</t>
    <phoneticPr fontId="5"/>
  </si>
  <si>
    <t>エントリーマスタ管理.エントリー年</t>
    <rPh sb="16" eb="17">
      <t>ネン</t>
    </rPh>
    <phoneticPr fontId="5"/>
  </si>
  <si>
    <t>エントリーマスタ管理.エントリー回</t>
    <rPh sb="16" eb="17">
      <t>カイ</t>
    </rPh>
    <phoneticPr fontId="5"/>
  </si>
  <si>
    <t>先方連結キー</t>
    <phoneticPr fontId="5"/>
  </si>
  <si>
    <t>BR18ENTD</t>
    <phoneticPr fontId="5"/>
  </si>
  <si>
    <t>BR17ENTL : BR18ENTD</t>
    <phoneticPr fontId="5"/>
  </si>
  <si>
    <t>エントリー日付管理.エントリーコード</t>
  </si>
  <si>
    <t>エントリー日付管理.エントリー年</t>
    <rPh sb="15" eb="16">
      <t>ネン</t>
    </rPh>
    <phoneticPr fontId="5"/>
  </si>
  <si>
    <t>エントリー日付管理.エントリー回</t>
    <rPh sb="15" eb="16">
      <t>カイ</t>
    </rPh>
    <phoneticPr fontId="5"/>
  </si>
  <si>
    <t>LEFT JOIN</t>
    <phoneticPr fontId="5"/>
  </si>
  <si>
    <t>エントリーマスタ管理.SAKUJO_FLG &lt;&gt; 0</t>
    <rPh sb="8" eb="10">
      <t>カンリ</t>
    </rPh>
    <phoneticPr fontId="5"/>
  </si>
  <si>
    <t>店統合マスタ</t>
    <rPh sb="0" eb="1">
      <t>ミセ</t>
    </rPh>
    <rPh sb="1" eb="3">
      <t>トウゴウ</t>
    </rPh>
    <phoneticPr fontId="5"/>
  </si>
  <si>
    <t>JOIN</t>
    <phoneticPr fontId="5"/>
  </si>
  <si>
    <t>当方連結キー</t>
    <phoneticPr fontId="5"/>
  </si>
  <si>
    <t>店統合マスタ.会社コード</t>
    <rPh sb="7" eb="9">
      <t>カイシャ</t>
    </rPh>
    <phoneticPr fontId="5"/>
  </si>
  <si>
    <t>グループ結合オーナマスタ.会社コード</t>
    <rPh sb="13" eb="15">
      <t>カイシャ</t>
    </rPh>
    <phoneticPr fontId="5"/>
  </si>
  <si>
    <t>ONER_ATTEND_CNT</t>
    <phoneticPr fontId="5"/>
  </si>
  <si>
    <t>ONER_ABSENT_CNT</t>
    <phoneticPr fontId="5"/>
  </si>
  <si>
    <t>オーナー参加or出席件数</t>
    <rPh sb="4" eb="6">
      <t>サンカ</t>
    </rPh>
    <rPh sb="8" eb="10">
      <t>シュッセキ</t>
    </rPh>
    <rPh sb="10" eb="12">
      <t>ケンスウ</t>
    </rPh>
    <phoneticPr fontId="5"/>
  </si>
  <si>
    <t>オーナー不参加or欠席件数</t>
    <rPh sb="4" eb="7">
      <t>フサンカ</t>
    </rPh>
    <rPh sb="9" eb="11">
      <t>ケッセキ</t>
    </rPh>
    <rPh sb="11" eb="13">
      <t>ケンスウ</t>
    </rPh>
    <phoneticPr fontId="5"/>
  </si>
  <si>
    <t>管理番号：DN-030103-019.01
分類　　　：開発標準化</t>
    <rPh sb="28" eb="30">
      <t>カイハツ</t>
    </rPh>
    <rPh sb="30" eb="33">
      <t>ヒョウジュンカ</t>
    </rPh>
    <phoneticPr fontId="5"/>
  </si>
  <si>
    <t>作成者：ASPAC 衣川
作成日：2006/12/19</t>
    <rPh sb="10" eb="12">
      <t>キヌガワ</t>
    </rPh>
    <phoneticPr fontId="5"/>
  </si>
  <si>
    <t>対象全国大会情報 (select)</t>
    <rPh sb="0" eb="2">
      <t>タイショウ</t>
    </rPh>
    <rPh sb="2" eb="4">
      <t>ゼンコク</t>
    </rPh>
    <rPh sb="4" eb="6">
      <t>タイカイ</t>
    </rPh>
    <rPh sb="6" eb="8">
      <t>ジョウホウ</t>
    </rPh>
    <phoneticPr fontId="5"/>
  </si>
  <si>
    <t>オーナー別エントリー状況</t>
    <phoneticPr fontId="5"/>
  </si>
  <si>
    <t>BT20ENON</t>
    <phoneticPr fontId="5"/>
  </si>
  <si>
    <t xml:space="preserve">    ,      (case when MAX(case when BT46.JIGYO_FLG = '0' then 1 else 0 end) &gt; 0 then '○' else '×' end) as SHUSSEKI_KBN</t>
  </si>
  <si>
    <t xml:space="preserve">    FROM BT46KENS BT46</t>
  </si>
  <si>
    <t xml:space="preserve">    ,    BM11ONER BM11</t>
  </si>
  <si>
    <t xml:space="preserve">    ,    BM01TENM BM01</t>
  </si>
  <si>
    <t xml:space="preserve">    WHERE BM11.COMPANY_CD   = /*companyCd*/'00'</t>
  </si>
  <si>
    <t xml:space="preserve">    AND   BM11.ONER_CD     != '39999' </t>
  </si>
  <si>
    <t xml:space="preserve">    AND   BM11.KEIYAKU_STA &lt;= /*sysDate*/'20061213'</t>
  </si>
  <si>
    <t xml:space="preserve">    AND   BM11.KEIYAKU_END &gt;= /*sysDate*/'20061213'</t>
  </si>
  <si>
    <t xml:space="preserve">    AND   BT46.ENTRY_CD     = /*entryCd*/'25'</t>
  </si>
  <si>
    <t xml:space="preserve">    AND   BT46.ENTRY_YEAR   = /*entryYear*/'2005'</t>
  </si>
  <si>
    <t xml:space="preserve">    AND   BT46.ENTRY_KAI    = /*entryKai*/'001'</t>
  </si>
  <si>
    <t xml:space="preserve">    AND   BM01.COMPANY_CD   = BM11.COMPANY_CD </t>
  </si>
  <si>
    <t xml:space="preserve">    AND   BT46.COMPANY_CD   = BM01.COMPANY_CD </t>
  </si>
  <si>
    <t xml:space="preserve">    AND   BT46.ONER_CD      = BM11.ONER_CD</t>
  </si>
  <si>
    <t xml:space="preserve">    AND   BT46.MISE_CD      = BM01.MISE_CD</t>
  </si>
  <si>
    <t xml:space="preserve">    GROUP BY BM11.ONER_CD</t>
  </si>
  <si>
    <t>) SHUKKETU</t>
  </si>
  <si>
    <t>ON (SHUKKETU.ONER_CD = BM11.ONER_CD)</t>
  </si>
  <si>
    <t xml:space="preserve">        </t>
  </si>
  <si>
    <t xml:space="preserve">/*IF taishouJokenChoice.equals("2")*/     </t>
  </si>
  <si>
    <t>,    (</t>
  </si>
  <si>
    <t xml:space="preserve">     SELECT DISTINCT SIBU_CD </t>
  </si>
  <si>
    <t xml:space="preserve">     FROM   BM01TENM </t>
  </si>
  <si>
    <t xml:space="preserve">     WHERE  MISE_CD in (SELECT MISE_CD </t>
  </si>
  <si>
    <t xml:space="preserve">                        FROM   BM50TANM </t>
  </si>
  <si>
    <t xml:space="preserve">                        WHERE COMPANY_CD = /*companyCd*/'00'</t>
  </si>
  <si>
    <t xml:space="preserve">                        AND   SV_CD = /*svCd*/'00000085'</t>
  </si>
  <si>
    <t xml:space="preserve">                       )</t>
  </si>
  <si>
    <t xml:space="preserve">     AND    COMPANY_CD = /*companyCd*/'00'</t>
  </si>
  <si>
    <t xml:space="preserve">     ) BM50</t>
  </si>
  <si>
    <t>/*END*/</t>
  </si>
  <si>
    <t>WHERE BM10.COMPANY_CD   =  /*companyCd*/'00'</t>
  </si>
  <si>
    <t xml:space="preserve">AND   BM10.SIBU_CD      = BM11.SIBU_CD </t>
  </si>
  <si>
    <t>/*IF taishouJokenChoice.equals("1") */</t>
  </si>
  <si>
    <t>AND   BM10.SIBU_CD = /*sibuListChoice*/'011'</t>
  </si>
  <si>
    <t xml:space="preserve">/*IF taishouJokenChoice.equals("2") */     </t>
  </si>
  <si>
    <t>AND   BM50.SIBU_CD = BM11.SIBU_CD</t>
  </si>
  <si>
    <t>order by SIBU_CD</t>
  </si>
  <si>
    <t xml:space="preserve">       , ONER_CD</t>
  </si>
  <si>
    <t>支部コード情報を取得</t>
    <rPh sb="0" eb="2">
      <t>シブ</t>
    </rPh>
    <rPh sb="5" eb="7">
      <t>ジョウホウ</t>
    </rPh>
    <rPh sb="8" eb="10">
      <t>シュトク</t>
    </rPh>
    <phoneticPr fontId="5"/>
  </si>
  <si>
    <t>支部情報(select)</t>
    <rPh sb="0" eb="2">
      <t>シブ</t>
    </rPh>
    <rPh sb="2" eb="4">
      <t>ジョウホウ</t>
    </rPh>
    <phoneticPr fontId="5"/>
  </si>
  <si>
    <t>エントリーマスタ管理.ENTRY_CD = パラメーターエントリーコード</t>
    <rPh sb="8" eb="10">
      <t>カンリ</t>
    </rPh>
    <phoneticPr fontId="5"/>
  </si>
  <si>
    <t>（エントリー日付管理.ユーザータイプコード = '99' AND　エントリー日付管理.DAY_KBN = '01'）</t>
    <rPh sb="38" eb="40">
      <t>ヒヅケ</t>
    </rPh>
    <rPh sb="40" eb="42">
      <t>カンリ</t>
    </rPh>
    <phoneticPr fontId="5"/>
  </si>
  <si>
    <t>（エントリー日付管理.ユーザータイプコード = '01' AND　エントリー日付管理.DAY_KBN = '04'）</t>
    <rPh sb="38" eb="40">
      <t>ヒヅケ</t>
    </rPh>
    <rPh sb="40" eb="42">
      <t>カンリ</t>
    </rPh>
    <phoneticPr fontId="5"/>
  </si>
  <si>
    <t>（エントリー日付管理.ユーザータイプコード = '02' AND　エントリー日付管理.DAY_KBN = '04'）</t>
    <rPh sb="38" eb="40">
      <t>ヒヅケ</t>
    </rPh>
    <rPh sb="40" eb="42">
      <t>カンリ</t>
    </rPh>
    <phoneticPr fontId="5"/>
  </si>
  <si>
    <t>エントリーマスタ管理.SAKUJO_FLG &lt;&gt; 0</t>
  </si>
  <si>
    <t>BR17ENTL : BT20ENON</t>
    <phoneticPr fontId="5"/>
  </si>
  <si>
    <t>オーナー別エントリー状況.エントリーコード</t>
    <phoneticPr fontId="5"/>
  </si>
  <si>
    <t>オーナー別エントリー状況.エントリー年</t>
    <rPh sb="18" eb="19">
      <t>ネン</t>
    </rPh>
    <phoneticPr fontId="5"/>
  </si>
  <si>
    <t>オーナー別エントリー状況.エントリー回</t>
    <rPh sb="18" eb="19">
      <t>カイ</t>
    </rPh>
    <phoneticPr fontId="5"/>
  </si>
  <si>
    <t>グループ統合オーナーマスタ</t>
    <rPh sb="4" eb="6">
      <t>トウゴウ</t>
    </rPh>
    <phoneticPr fontId="5"/>
  </si>
  <si>
    <t>エントリーマスタ管理.ENTRY_YEAR　= パラメーター.エントリー年</t>
    <rPh sb="8" eb="10">
      <t>カンリ</t>
    </rPh>
    <rPh sb="36" eb="37">
      <t>ネン</t>
    </rPh>
    <phoneticPr fontId="5"/>
  </si>
  <si>
    <t>エントリーマスタ管理.ENTRY_KAI　= パラメーター.エントリー回</t>
    <rPh sb="8" eb="10">
      <t>カンリ</t>
    </rPh>
    <rPh sb="35" eb="36">
      <t>カイ</t>
    </rPh>
    <phoneticPr fontId="5"/>
  </si>
  <si>
    <t>BM11ONER : BM01TENM</t>
    <phoneticPr fontId="5"/>
  </si>
  <si>
    <t>グループ統合オーナーマスタ.会社コード</t>
    <rPh sb="14" eb="16">
      <t>カイシャ</t>
    </rPh>
    <phoneticPr fontId="5"/>
  </si>
  <si>
    <t>グループ統合オーナーマスタ.オーナーコード</t>
    <phoneticPr fontId="5"/>
  </si>
  <si>
    <t>グループ統合オーナーマスタ.オーナーコード　!= '39999'</t>
    <phoneticPr fontId="5"/>
  </si>
  <si>
    <t>グループ統合オーナーマスタ.契約終了日　&gt;=　パラメーター.システム日付</t>
    <rPh sb="14" eb="16">
      <t>ケイヤク</t>
    </rPh>
    <rPh sb="16" eb="19">
      <t>シュウリョウビ</t>
    </rPh>
    <rPh sb="34" eb="36">
      <t>ヒヅケ</t>
    </rPh>
    <phoneticPr fontId="5"/>
  </si>
  <si>
    <t>グループ統合オーナーマスタ.契約開始日　&lt;=　パラメーター.システム日付</t>
    <rPh sb="14" eb="16">
      <t>ケイヤク</t>
    </rPh>
    <rPh sb="16" eb="19">
      <t>カイシビ</t>
    </rPh>
    <rPh sb="34" eb="36">
      <t>ヒヅケ</t>
    </rPh>
    <phoneticPr fontId="5"/>
  </si>
  <si>
    <t>指定全国大会の情報を取得する。</t>
    <rPh sb="0" eb="2">
      <t>シテイ</t>
    </rPh>
    <rPh sb="2" eb="4">
      <t>ゼンコク</t>
    </rPh>
    <rPh sb="4" eb="6">
      <t>タイカイ</t>
    </rPh>
    <rPh sb="7" eb="9">
      <t>ジョウホウ</t>
    </rPh>
    <rPh sb="10" eb="12">
      <t>シュトク</t>
    </rPh>
    <phoneticPr fontId="5"/>
  </si>
  <si>
    <t>jp.co.isid.mos.bird.entry.nationalviewlist.entity.UIEntryStatusInfo</t>
    <phoneticPr fontId="5"/>
  </si>
  <si>
    <t>jp.co.isid.mos.bird.entry.nationalviewlist.entity.CodCompany</t>
    <phoneticPr fontId="5"/>
  </si>
  <si>
    <t>jp.co.isid.mos.bird.entry.nationalviewlist.entity.CodSibu</t>
    <phoneticPr fontId="5"/>
  </si>
  <si>
    <t>検索(select)</t>
    <rPh sb="0" eb="2">
      <t>ケンサク</t>
    </rPh>
    <phoneticPr fontId="5"/>
  </si>
  <si>
    <t>jp.co.isid.mos.bird.entry.nationalviewlist.entity.UISibuOnerStatusList</t>
    <phoneticPr fontId="5"/>
  </si>
  <si>
    <t>jp.co.isid.mos.bird.entry.nationalviewlist.entity.UIAttendAbsentCntInfo</t>
    <phoneticPr fontId="5"/>
  </si>
  <si>
    <t>jp.co.isid.mos.bird.entry.nationalviewlist.dao.UISibuOnerStatusListDao</t>
    <phoneticPr fontId="5"/>
  </si>
  <si>
    <t>jp.co.isid.mos.bird.entry.nationalviewlist.dao.UICsvStatusListDao</t>
    <phoneticPr fontId="5"/>
  </si>
  <si>
    <t>プロパティ名</t>
    <phoneticPr fontId="5"/>
  </si>
  <si>
    <t>String</t>
    <phoneticPr fontId="5"/>
  </si>
  <si>
    <t>CHAR(2)</t>
    <phoneticPr fontId="5"/>
  </si>
  <si>
    <t>String</t>
    <phoneticPr fontId="5"/>
  </si>
  <si>
    <t>CHAR(5)</t>
    <phoneticPr fontId="5"/>
  </si>
  <si>
    <t>String</t>
    <phoneticPr fontId="5"/>
  </si>
  <si>
    <t>SV_CD</t>
    <phoneticPr fontId="5"/>
  </si>
  <si>
    <t>SV_NAME_KJ</t>
    <phoneticPr fontId="5"/>
  </si>
  <si>
    <t>SV_NAME_KNA</t>
    <phoneticPr fontId="5"/>
  </si>
  <si>
    <t>SVリスト(CodSv)</t>
    <phoneticPr fontId="5"/>
  </si>
  <si>
    <t>SVリスト(CodSvDao)</t>
    <phoneticPr fontId="5"/>
  </si>
  <si>
    <t>jp.co.isid.mos.bird.entry.nationalviewlist.entity.CodSv</t>
    <phoneticPr fontId="5"/>
  </si>
  <si>
    <t>jp.co.isid.mos.bird.entry.nationalviewlist.dao.CodSvDao</t>
    <phoneticPr fontId="5"/>
  </si>
  <si>
    <t>SVコード</t>
    <phoneticPr fontId="5"/>
  </si>
  <si>
    <t>SELECT COMPANY_CD</t>
    <phoneticPr fontId="5"/>
  </si>
  <si>
    <t>,           SV_CD</t>
    <phoneticPr fontId="5"/>
  </si>
  <si>
    <t>,      rtrim(SV_NAME_KJ) AS SV_NAME_KJ</t>
    <phoneticPr fontId="5"/>
  </si>
  <si>
    <t>,      rtrim(SV_NAME_KANA) as SV_NAME_KNA</t>
    <phoneticPr fontId="5"/>
  </si>
  <si>
    <t>WHERE  SV_CD = /*svCd*/'00000085'</t>
    <phoneticPr fontId="5"/>
  </si>
  <si>
    <t>FROM   BM52SVCD</t>
    <phoneticPr fontId="5"/>
  </si>
  <si>
    <t>BM52SVCD</t>
  </si>
  <si>
    <t>SVマスタ</t>
    <phoneticPr fontId="5"/>
  </si>
  <si>
    <t>SVマスタ.SVコード = パラメーターSVコード</t>
    <phoneticPr fontId="5"/>
  </si>
  <si>
    <t>BM52SVCD</t>
    <phoneticPr fontId="5"/>
  </si>
  <si>
    <t>SVマスタからSVコード情報を取得</t>
    <rPh sb="12" eb="14">
      <t>ジョウホウ</t>
    </rPh>
    <rPh sb="15" eb="17">
      <t>シュトク</t>
    </rPh>
    <phoneticPr fontId="5"/>
  </si>
  <si>
    <t>,    (SELECT COUNT(DISTINCT ONER.ONER_CD) AS CNT</t>
  </si>
  <si>
    <t xml:space="preserve">      FROM BM11ONER ONER</t>
  </si>
  <si>
    <t xml:space="preserve">      ,    BM01TENM MISE</t>
  </si>
  <si>
    <t xml:space="preserve">      WHERE ONER.COMPANY_CD   = /*companyCd*/'00'</t>
  </si>
  <si>
    <t xml:space="preserve">      AND   ONER.ONER_CD     != '39999' </t>
  </si>
  <si>
    <t xml:space="preserve">      AND   ONER.KEIYAKU_STA &lt;= /*sysDate*/'20061213'</t>
  </si>
  <si>
    <t xml:space="preserve">      AND   ONER.KEIYAKU_END &gt;= /*sysDate*/'20061213'</t>
  </si>
  <si>
    <t xml:space="preserve">      AND   MISE.COMPANY_CD   = ONER.COMPANY_CD</t>
  </si>
  <si>
    <t xml:space="preserve">      AND   MISE.ONER_CD   = ONER.ONER_CD</t>
  </si>
  <si>
    <t xml:space="preserve">          ,      BT20.COMPANY_CD</t>
  </si>
  <si>
    <t xml:space="preserve">          ,      BT20.ONER_CD</t>
  </si>
  <si>
    <t xml:space="preserve">          ,      MAX(CASE WHEN BT20.ENTRY_FLG = '0' THEN 1 ELSE 0 END) AS ABSENT</t>
  </si>
  <si>
    <t xml:space="preserve">          FROM (SELECT MISE.SIBU_CD</t>
  </si>
  <si>
    <t xml:space="preserve">                ,      ONER.KEIYAKU_STA</t>
  </si>
  <si>
    <t xml:space="preserve">                ,      ONER.KEIYAKU_END</t>
  </si>
  <si>
    <t xml:space="preserve">                WHERE ONER.COMPANY_CD   = /*companyCd*/'00'</t>
  </si>
  <si>
    <t xml:space="preserve">                AND   ONER.ONER_CD     != '39999' </t>
  </si>
  <si>
    <t xml:space="preserve">                GROUP BY MISE.SIBU_CD</t>
  </si>
  <si>
    <t xml:space="preserve">                ,        ONER.KEIYAKU_STA</t>
  </si>
  <si>
    <t xml:space="preserve">                ,        ONER.KEIYAKU_END</t>
  </si>
  <si>
    <t xml:space="preserve">          WHERE BT20.COMPANY_CD = /*companyCd*/'00'</t>
  </si>
  <si>
    <t xml:space="preserve">          ,        BT20.COMPANY_CD</t>
  </si>
  <si>
    <t xml:space="preserve">          ,        BT20.ONER_CD</t>
  </si>
  <si>
    <t xml:space="preserve">    SELECT BT20.ENTRY_CD</t>
  </si>
  <si>
    <t xml:space="preserve">    ,      BT20.ENTRY_YEAR</t>
  </si>
  <si>
    <t xml:space="preserve">    ,      BT20.ENTRY_KAI</t>
  </si>
  <si>
    <t xml:space="preserve">    ,      SUM(CASE WHEN BT20.ENTRY_FLG = '1' </t>
  </si>
  <si>
    <t xml:space="preserve">                    THEN (CASE WHEN BT48.SEQ_NO IS NULL THEN 0 ELSE 1 END) </t>
  </si>
  <si>
    <t xml:space="preserve">                    ELSE 0 </t>
  </si>
  <si>
    <t xml:space="preserve">                    END) AS ATTEND</t>
  </si>
  <si>
    <t xml:space="preserve">    ,      SUM(CASE WHEN BT20.ENTRY_FLG = '0' </t>
  </si>
  <si>
    <t xml:space="preserve">                    END) AS ABSENT</t>
  </si>
  <si>
    <t xml:space="preserve">    FROM (SELECT MISE.SIBU_CD</t>
  </si>
  <si>
    <t xml:space="preserve">          ,      MISE.ONER_CD </t>
  </si>
  <si>
    <t xml:space="preserve">          ,      ONER.ONER_NAME_KJ</t>
  </si>
  <si>
    <t xml:space="preserve">          ,      ONER.KEIYAKU_STA</t>
  </si>
  <si>
    <t xml:space="preserve">          ,      ONER.KEIYAKU_END</t>
  </si>
  <si>
    <t xml:space="preserve">          FROM BM11ONER ONER</t>
  </si>
  <si>
    <t xml:space="preserve">          WHERE ONER.COMPANY_CD   = /*companyCd*/'00'</t>
  </si>
  <si>
    <t xml:space="preserve">          AND   ONER.ONER_CD     != '39999' </t>
  </si>
  <si>
    <t xml:space="preserve">          AND   ONER.KEIYAKU_STA &lt;= /*sysDate*/'20061213'</t>
  </si>
  <si>
    <t xml:space="preserve">          AND   ONER.KEIYAKU_END &gt;= /*sysDate*/'20061213'</t>
  </si>
  <si>
    <t xml:space="preserve">          AND   MISE.COMPANY_CD   = ONER.COMPANY_CD</t>
  </si>
  <si>
    <t xml:space="preserve">          AND   MISE.ONER_CD      = ONER.ONER_CD</t>
  </si>
  <si>
    <t xml:space="preserve">          GROUP BY MISE.SIBU_CD</t>
  </si>
  <si>
    <t xml:space="preserve">          ,        MISE.ONER_CD </t>
  </si>
  <si>
    <t xml:space="preserve">          ,        ONER.ONER_NAME_KJ</t>
  </si>
  <si>
    <t xml:space="preserve">          ,        ONER.KEIYAKU_STA</t>
  </si>
  <si>
    <t xml:space="preserve">          ,        ONER.KEIYAKU_END</t>
  </si>
  <si>
    <t xml:space="preserve">         ) BM11</t>
  </si>
  <si>
    <t xml:space="preserve">    ,    BM01TENM MISE</t>
  </si>
  <si>
    <t xml:space="preserve">    ,    BT20ENON BT20</t>
  </si>
  <si>
    <t xml:space="preserve">    WHERE MISE.COMPANY_CD = /*companyCd*/'00'</t>
  </si>
  <si>
    <t xml:space="preserve">    AND   BT20.COMPANY_CD = MISE.COMPANY_CD</t>
  </si>
  <si>
    <t xml:space="preserve">    AND   BT48.COMPANY_CD = BT20.COMPANY_CD</t>
  </si>
  <si>
    <t xml:space="preserve">    AND   MISE.SIBU_CD = BM11.SIBU_CD</t>
  </si>
  <si>
    <t xml:space="preserve">    AND   BT20.ONER_CD = BM11.ONER_CD</t>
  </si>
  <si>
    <t xml:space="preserve">    AND   BT48.ONER_CD = BT20.ONER_CD</t>
  </si>
  <si>
    <t xml:space="preserve">    AND   BT48.MISE_CD = MISE.MISE_CD</t>
  </si>
  <si>
    <t xml:space="preserve">    GROUP BY BT20.ENTRY_CD</t>
  </si>
  <si>
    <t xml:space="preserve">    ,        BT20.ENTRY_YEAR</t>
  </si>
  <si>
    <t xml:space="preserve">    ,        BT20.ENTRY_KAI</t>
  </si>
  <si>
    <t>　　SELECT ENTRY_CD</t>
    <phoneticPr fontId="5"/>
  </si>
  <si>
    <t>オーナー全体出欠情報(select)</t>
    <rPh sb="4" eb="6">
      <t>ゼンタイ</t>
    </rPh>
    <rPh sb="6" eb="8">
      <t>シュッケツ</t>
    </rPh>
    <rPh sb="8" eb="10">
      <t>ジョウホウ</t>
    </rPh>
    <phoneticPr fontId="5"/>
  </si>
  <si>
    <t>対象全国大会のオーナー全体の出欠（参加・不参加）情報を取得する。</t>
    <rPh sb="0" eb="2">
      <t>タイショウ</t>
    </rPh>
    <rPh sb="2" eb="6">
      <t>ゼンコクタイカイ</t>
    </rPh>
    <rPh sb="11" eb="13">
      <t>ゼンタイ</t>
    </rPh>
    <rPh sb="14" eb="15">
      <t>デ</t>
    </rPh>
    <rPh sb="15" eb="16">
      <t>ケツ</t>
    </rPh>
    <rPh sb="17" eb="19">
      <t>サンカ</t>
    </rPh>
    <rPh sb="20" eb="23">
      <t>フサンカ</t>
    </rPh>
    <rPh sb="24" eb="26">
      <t>ジョウホウ</t>
    </rPh>
    <rPh sb="27" eb="29">
      <t>シュトク</t>
    </rPh>
    <phoneticPr fontId="5"/>
  </si>
  <si>
    <t>参加オーナー</t>
    <rPh sb="0" eb="2">
      <t>サンカ</t>
    </rPh>
    <phoneticPr fontId="5"/>
  </si>
  <si>
    <t>不参加オーナー</t>
    <rPh sb="0" eb="3">
      <t>フサンカ</t>
    </rPh>
    <phoneticPr fontId="5"/>
  </si>
  <si>
    <t>不参加人数</t>
    <rPh sb="0" eb="3">
      <t>フサンカ</t>
    </rPh>
    <rPh sb="3" eb="5">
      <t>ニンズウ</t>
    </rPh>
    <phoneticPr fontId="5"/>
  </si>
  <si>
    <t>エントリーマスタ管理.ENTRY_CD = パラメーター.エントリーコード</t>
    <rPh sb="8" eb="10">
      <t>カンリ</t>
    </rPh>
    <phoneticPr fontId="5"/>
  </si>
  <si>
    <t>エントリーマスタ管理.ENTRY_YEAR = パラメーター.エントリー年</t>
    <rPh sb="8" eb="10">
      <t>カンリ</t>
    </rPh>
    <rPh sb="36" eb="37">
      <t>ネン</t>
    </rPh>
    <phoneticPr fontId="5"/>
  </si>
  <si>
    <t>エントリーマスタ管理.ENTRY_KAI = パラメーター.エントリー回</t>
    <rPh sb="8" eb="10">
      <t>カンリ</t>
    </rPh>
    <rPh sb="35" eb="36">
      <t>カイ</t>
    </rPh>
    <phoneticPr fontId="5"/>
  </si>
  <si>
    <t>グループ結合オーナマスタ.会社コード　＝　パラメーター.会社コード</t>
    <rPh sb="28" eb="30">
      <t>カイシャ</t>
    </rPh>
    <phoneticPr fontId="5"/>
  </si>
  <si>
    <t>グループ結合オーナマスタ.契約開始日　＜＝　パラメーター.システム日付</t>
    <rPh sb="13" eb="15">
      <t>ケイヤク</t>
    </rPh>
    <rPh sb="15" eb="18">
      <t>カイシビ</t>
    </rPh>
    <rPh sb="33" eb="35">
      <t>ヒヅケ</t>
    </rPh>
    <phoneticPr fontId="5"/>
  </si>
  <si>
    <t>グループ結合オーナマスタ.契約終了日　＞＝　パラメーター.システム日付</t>
    <rPh sb="13" eb="15">
      <t>ケイヤク</t>
    </rPh>
    <rPh sb="15" eb="18">
      <t>シュウリョウビ</t>
    </rPh>
    <rPh sb="33" eb="35">
      <t>ヒヅケ</t>
    </rPh>
    <phoneticPr fontId="5"/>
  </si>
  <si>
    <t>グループ結合オーナマスタ.オーナーコード　！＝　’39999’</t>
    <phoneticPr fontId="5"/>
  </si>
  <si>
    <t>　※その他（請求送付先）オーナーは対象外の条件です。</t>
    <rPh sb="4" eb="5">
      <t>タ</t>
    </rPh>
    <rPh sb="6" eb="8">
      <t>セイキュウ</t>
    </rPh>
    <rPh sb="8" eb="10">
      <t>ソウフ</t>
    </rPh>
    <rPh sb="10" eb="11">
      <t>サキ</t>
    </rPh>
    <rPh sb="17" eb="20">
      <t>タイショウガイ</t>
    </rPh>
    <rPh sb="21" eb="23">
      <t>ジョウケン</t>
    </rPh>
    <phoneticPr fontId="5"/>
  </si>
  <si>
    <t xml:space="preserve">          ,    BT20ENON BT20</t>
    <phoneticPr fontId="5"/>
  </si>
  <si>
    <t>オーナー別エントリー状況.オーナーコード</t>
    <phoneticPr fontId="5"/>
  </si>
  <si>
    <t>オーナー別エントリー状況.会社コード</t>
    <rPh sb="13" eb="15">
      <t>カイシャ</t>
    </rPh>
    <phoneticPr fontId="5"/>
  </si>
  <si>
    <t xml:space="preserve">    ,    BT48NATI BT48</t>
    <phoneticPr fontId="5"/>
  </si>
  <si>
    <t>BM11ONER : BT48NATI</t>
    <phoneticPr fontId="5"/>
  </si>
  <si>
    <t>全国大会エントリー状況</t>
    <rPh sb="0" eb="2">
      <t>ゼンコク</t>
    </rPh>
    <rPh sb="2" eb="4">
      <t>タイカイ</t>
    </rPh>
    <rPh sb="9" eb="11">
      <t>ジョウキョウ</t>
    </rPh>
    <phoneticPr fontId="5"/>
  </si>
  <si>
    <t>全国大会エントリー状況.会社コード</t>
    <rPh sb="12" eb="14">
      <t>カイシャ</t>
    </rPh>
    <phoneticPr fontId="5"/>
  </si>
  <si>
    <t>全国大会エントリー状況.オーナーコード</t>
    <phoneticPr fontId="5"/>
  </si>
  <si>
    <t>BM11ONER : BT20ENON</t>
    <phoneticPr fontId="5"/>
  </si>
  <si>
    <t>BT20ENON : BT48NATI</t>
    <phoneticPr fontId="5"/>
  </si>
  <si>
    <t xml:space="preserve">BR17ENTL : BT20ENON </t>
    <phoneticPr fontId="5"/>
  </si>
  <si>
    <t>オーナー別エントリー状況.エントリーコード</t>
    <phoneticPr fontId="5"/>
  </si>
  <si>
    <t>全国大会エントリー状況.エントリーコード</t>
    <phoneticPr fontId="5"/>
  </si>
  <si>
    <t>全国大会エントリー状況.エントリー年</t>
    <rPh sb="17" eb="18">
      <t>ネン</t>
    </rPh>
    <phoneticPr fontId="5"/>
  </si>
  <si>
    <t>全国大会エントリー状況.エントリー回</t>
    <rPh sb="17" eb="18">
      <t>カイ</t>
    </rPh>
    <phoneticPr fontId="5"/>
  </si>
  <si>
    <t>BM01TENM : BT48NATI</t>
    <phoneticPr fontId="5"/>
  </si>
  <si>
    <t>店統合マスタ.店コード</t>
    <rPh sb="0" eb="1">
      <t>ミセ</t>
    </rPh>
    <rPh sb="1" eb="3">
      <t>トウゴウ</t>
    </rPh>
    <rPh sb="7" eb="8">
      <t>ミセ</t>
    </rPh>
    <phoneticPr fontId="5"/>
  </si>
  <si>
    <t>全国大会エントリー状況.店コード</t>
    <rPh sb="12" eb="13">
      <t>ミセ</t>
    </rPh>
    <phoneticPr fontId="5"/>
  </si>
  <si>
    <t>BigDecimal</t>
    <phoneticPr fontId="5"/>
  </si>
  <si>
    <t>SELECT ONERTOTAL.CNT AS ONER_TOTAL_CNT</t>
  </si>
  <si>
    <t>,      ONERCNT.ATTEND AS ONER_ATTEND_CNT</t>
  </si>
  <si>
    <t>,      ONERCNT.ABSENT AS ONER_ABSENT_CNT</t>
  </si>
  <si>
    <t>,      PERSONCNT.ATTEND AS ATTEND_CNT</t>
  </si>
  <si>
    <t>,      PERSONCNT.ABSENT AS ABSENT_CNT</t>
  </si>
  <si>
    <t>) ONERTOTAL</t>
  </si>
  <si>
    <t>,  (</t>
  </si>
  <si>
    <t xml:space="preserve">    ,      ENTRY_YEAR</t>
  </si>
  <si>
    <t xml:space="preserve">    ,      ENTRY_KAI</t>
  </si>
  <si>
    <t xml:space="preserve">    ,      SUM(ATTEND) AS ATTEND</t>
  </si>
  <si>
    <t xml:space="preserve">    ,      SUM(CASE WHEN ATTEND &gt; 0 THEN 0 ELSE ABSENT END) AS ABSENT</t>
  </si>
  <si>
    <t xml:space="preserve">    FROM (SELECT BT20.ENTRY_CD</t>
  </si>
  <si>
    <t xml:space="preserve">          ,      BT20.ENTRY_YEAR</t>
  </si>
  <si>
    <t xml:space="preserve">          ,      BT20.ENTRY_KAI</t>
  </si>
  <si>
    <t xml:space="preserve">          ,      MAX(CASE WHEN BT20.ENTRY_FLG = '1' THEN 1 ELSE 0 END) AS ATTEND</t>
  </si>
  <si>
    <t xml:space="preserve">                ,      MISE.ONER_CD </t>
  </si>
  <si>
    <t xml:space="preserve">                ,      ONER.ONER_NAME_KJ</t>
  </si>
  <si>
    <t xml:space="preserve">                FROM BM11ONER ONER</t>
  </si>
  <si>
    <t xml:space="preserve">                ,    BM01TENM MISE</t>
  </si>
  <si>
    <t xml:space="preserve">                AND   ONER.KEIYAKU_STA &lt;= /*sysDate*/'20061213'</t>
  </si>
  <si>
    <t xml:space="preserve">                AND   ONER.KEIYAKU_END &gt;= /*sysDate*/'20061213'</t>
  </si>
  <si>
    <t xml:space="preserve">                AND   MISE.COMPANY_CD   = ONER.COMPANY_CD</t>
  </si>
  <si>
    <t xml:space="preserve">                AND   MISE.ONER_CD   = ONER.ONER_CD</t>
  </si>
  <si>
    <t xml:space="preserve">                ,        MISE.ONER_CD </t>
  </si>
  <si>
    <t xml:space="preserve">                ,        ONER.ONER_NAME_KJ</t>
  </si>
  <si>
    <t xml:space="preserve">          AND   BT20.ONER_CD    = BM11.ONER_CD</t>
  </si>
  <si>
    <t xml:space="preserve">          GROUP BY BT20.ENTRY_CD</t>
  </si>
  <si>
    <t xml:space="preserve">          ,        BT20.ENTRY_YEAR</t>
  </si>
  <si>
    <t xml:space="preserve">          ,        BT20.ENTRY_KAI</t>
  </si>
  <si>
    <t xml:space="preserve">          ) KENS</t>
  </si>
  <si>
    <t xml:space="preserve">    GROUP BY ENTRY_CD</t>
  </si>
  <si>
    <t xml:space="preserve">    ,     ENTRY_YEAR</t>
  </si>
  <si>
    <t xml:space="preserve">    ,     ENTRY_KAI</t>
  </si>
  <si>
    <t>) ONERCNT</t>
  </si>
  <si>
    <t>, (</t>
  </si>
  <si>
    <t xml:space="preserve">          ,    BM01TENM MISE</t>
  </si>
  <si>
    <t>) PERSONCNT</t>
  </si>
  <si>
    <t>AND   BR17.ENTRY_CD = /*entryCd*/'25'</t>
  </si>
  <si>
    <t>AND   BR17.ENTRY_KAI = /*entryKai*/'012'</t>
  </si>
  <si>
    <t xml:space="preserve">AND   ONERCNT.ENTRY_CD = BR17.ENTRY_CD </t>
  </si>
  <si>
    <t xml:space="preserve">AND   ONERCNT.ENTRY_YEAR = BR17.ENTRY_YEAR </t>
  </si>
  <si>
    <t>AND   ONERCNT.ENTRY_KAI = BR17.ENTRY_KAI</t>
  </si>
  <si>
    <t xml:space="preserve">AND   PERSONCNT.ENTRY_CD = BR17.ENTRY_CD </t>
  </si>
  <si>
    <t xml:space="preserve">AND   PERSONCNT.ENTRY_YEAR = BR17.ENTRY_YEAR </t>
  </si>
  <si>
    <t>AND   PERSONCNT.ENTRY_KAI = BR17.ENTRY_KAI</t>
  </si>
  <si>
    <t xml:space="preserve">  </t>
  </si>
  <si>
    <t>会社コード(CodCompanyDao)</t>
    <phoneticPr fontId="5"/>
  </si>
  <si>
    <t>会社リスト(CodCompany)</t>
    <phoneticPr fontId="5"/>
  </si>
  <si>
    <t>企業コード</t>
    <rPh sb="0" eb="2">
      <t>キギョウ</t>
    </rPh>
    <phoneticPr fontId="5"/>
  </si>
  <si>
    <t>CHAR(02)</t>
    <phoneticPr fontId="5"/>
  </si>
  <si>
    <t>COMPANY_CD</t>
    <phoneticPr fontId="5"/>
  </si>
  <si>
    <t>BC05KCOM</t>
  </si>
  <si>
    <t>会社名</t>
    <rPh sb="0" eb="2">
      <t>カイシャ</t>
    </rPh>
    <rPh sb="2" eb="3">
      <t>メイ</t>
    </rPh>
    <phoneticPr fontId="5"/>
  </si>
  <si>
    <t>COMPANY_NAME</t>
    <phoneticPr fontId="5"/>
  </si>
  <si>
    <t>プロパティ名</t>
    <phoneticPr fontId="5"/>
  </si>
  <si>
    <t>jp.co.isid.mos.bird.entry.nationalviewlist.dao.CodCompanyDao</t>
    <phoneticPr fontId="5"/>
  </si>
  <si>
    <r>
      <t>会社を取得する(</t>
    </r>
    <r>
      <rPr>
        <sz val="11"/>
        <rFont val="ＭＳ Ｐゴシック"/>
        <family val="3"/>
        <charset val="128"/>
      </rPr>
      <t>select</t>
    </r>
    <r>
      <rPr>
        <sz val="11"/>
        <rFont val="ＭＳ Ｐゴシック"/>
        <family val="3"/>
        <charset val="128"/>
      </rPr>
      <t>)</t>
    </r>
    <rPh sb="0" eb="2">
      <t>カイシャ</t>
    </rPh>
    <rPh sb="3" eb="5">
      <t>シュトク</t>
    </rPh>
    <phoneticPr fontId="5"/>
  </si>
  <si>
    <t>ユーザID</t>
    <phoneticPr fontId="5"/>
  </si>
  <si>
    <t>管理会社</t>
    <rPh sb="0" eb="2">
      <t>カンリ</t>
    </rPh>
    <rPh sb="2" eb="4">
      <t>ガイシャ</t>
    </rPh>
    <phoneticPr fontId="5"/>
  </si>
  <si>
    <t>BC05KCOM</t>
    <phoneticPr fontId="5"/>
  </si>
  <si>
    <t>ユーザ対応オーナー</t>
  </si>
  <si>
    <t>BM06UONR</t>
  </si>
  <si>
    <t>SQL</t>
    <phoneticPr fontId="5"/>
  </si>
  <si>
    <t>select      bc02.r_company_cd as company_cd
,           bc02.company_name
from        bm03uscp as bm03
,           bc02comp as bc02
where       bm03.r_company_cd = bc02.r_company_cd
and         bm03.user_id = /*userId*/'99990003'
and         bc02.mise_flg = '1'
order by    bc02.sort_seq</t>
    <phoneticPr fontId="5"/>
  </si>
  <si>
    <t>先方連結キー</t>
  </si>
  <si>
    <t>管理会社.COMPANY_CD</t>
  </si>
  <si>
    <t>支部リスト(CodSibu)</t>
  </si>
  <si>
    <t>支部リスト(CodSibuDao)</t>
    <phoneticPr fontId="5"/>
  </si>
  <si>
    <t>jp.co.isid.mos.bird.entry.nationalviewlist.dao.CodSibuDao</t>
  </si>
  <si>
    <t>jp.co.isid.mos.bird.entry.nationalviewlist.entity.UICsvStatusList</t>
  </si>
  <si>
    <t>対象エントリー情報(UIEntryStatusInfo)</t>
    <rPh sb="0" eb="2">
      <t>タイショウ</t>
    </rPh>
    <rPh sb="7" eb="9">
      <t>ジョウホウ</t>
    </rPh>
    <phoneticPr fontId="5"/>
  </si>
  <si>
    <t>対象エントリー情報(UIEntryStatusInfoDao)</t>
    <phoneticPr fontId="5"/>
  </si>
  <si>
    <t>jp.co.isid.mos.bird.entry.nationalviewlist.dao.UIEntryStatusInfoDao</t>
    <phoneticPr fontId="5"/>
  </si>
  <si>
    <t>店統合マスタ.オーナーコード</t>
    <phoneticPr fontId="5"/>
  </si>
  <si>
    <t>BT20ENON</t>
  </si>
  <si>
    <t>申込状況一覧(UISibuOnerStatusList)</t>
    <rPh sb="0" eb="2">
      <t>モウシコミ</t>
    </rPh>
    <rPh sb="2" eb="4">
      <t>ジョウキョウ</t>
    </rPh>
    <phoneticPr fontId="5"/>
  </si>
  <si>
    <t>申込状況一覧(UISibuOnerStatusListDao)</t>
    <phoneticPr fontId="5"/>
  </si>
  <si>
    <t>CSV申込状況一覧(UICsvStatusList)</t>
    <rPh sb="3" eb="9">
      <t>モウシコミジョウキョウイチラン</t>
    </rPh>
    <phoneticPr fontId="5"/>
  </si>
  <si>
    <t>CSV申込状況一覧(UICsvStatusListDao)</t>
    <phoneticPr fontId="5"/>
  </si>
  <si>
    <t>select</t>
  </si>
  <si>
    <t xml:space="preserve">    rtrim(BM10.COMPANY_CD) as COMPANY_CD,</t>
  </si>
  <si>
    <t xml:space="preserve">    rtrim(BM10.SIBU_CD) as SIBU_CD,</t>
  </si>
  <si>
    <t xml:space="preserve">    rtrim(BM10.SIBU_NAME) as SIBU_NAME</t>
  </si>
  <si>
    <t>from</t>
  </si>
  <si>
    <t xml:space="preserve">    BM10GSIB as BM10</t>
  </si>
  <si>
    <t xml:space="preserve">    /*IF limit*/</t>
  </si>
  <si>
    <t xml:space="preserve">    /*END*/</t>
  </si>
  <si>
    <t>where</t>
  </si>
  <si>
    <t xml:space="preserve">    BM10.COMPANY_CD = /*companyCd*/'00' and</t>
  </si>
  <si>
    <t xml:space="preserve">    BM10.HONBU_CD &lt; '20000'</t>
  </si>
  <si>
    <t xml:space="preserve">    and BM51.COMPANY_CD = /*companyCd*/'00'</t>
  </si>
  <si>
    <t xml:space="preserve">    and BM51.SV_CD = /*userId*/'99990003'</t>
  </si>
  <si>
    <t>order by</t>
  </si>
  <si>
    <t xml:space="preserve"> SIBU_CD</t>
  </si>
  <si>
    <t xml:space="preserve">    inner join BM51SVSB as BM51 </t>
    <phoneticPr fontId="5"/>
  </si>
  <si>
    <t xml:space="preserve">    on BM51.COMPANY_CD = BM10.COMPANY_CD and BM51.SIBU_CD = BM10.SIBU_CD </t>
    <phoneticPr fontId="5"/>
  </si>
  <si>
    <t>SELECT BR17.ENTRY_CD</t>
  </si>
  <si>
    <t>,      BR17.ENTRY_YEAR</t>
  </si>
  <si>
    <t>,      BR17.ENTRY_KAI</t>
  </si>
  <si>
    <t>,      ENTRY.FROM_DT AS KAISAI_DT</t>
  </si>
  <si>
    <t>,      BR17.ENTRY_TITLE AS ENTRY_TITLE</t>
  </si>
  <si>
    <t>,      HONBU.FROM_DT AS HONBU_FROM_DT</t>
  </si>
  <si>
    <t>,      HONBU.TO_DT AS HONBU_TO_DT</t>
  </si>
  <si>
    <t>,      ONER.FROM_DT AS ONER_FROM_DT</t>
  </si>
  <si>
    <t>,      ONER.TO_DT AS ONER_TO_DT</t>
  </si>
  <si>
    <t>,      DECIMAL(CASE WHEN BT21.ATTEND_CNT IS NULL THEN 0 ELSE BT21.ATTEND_CNT END, 6,0) AS ONER_ATTEND_CNT</t>
  </si>
  <si>
    <t>,      DECIMAL(CASE WHEN BT21.ABSENT_CNT IS NULL THEN 0 ELSE BT21.ABSENT_CNT END, 6,0) AS ONER_ABSENT_CNT</t>
  </si>
  <si>
    <t>FROM BR17ENTL BR17</t>
  </si>
  <si>
    <t xml:space="preserve">     </t>
  </si>
  <si>
    <t>JOIN (SELECT * FROM BR18ENTD WHERE USERTYPE_CD = '99' AND DAY_KBN = '01') ENTRY</t>
  </si>
  <si>
    <t xml:space="preserve">  ON (ENTRY.ENTRY_CD = BR17.ENTRY_CD AND ENTRY.ENTRY_YEAR = BR17.ENTRY_YEAR AND ENTRY.ENTRY_KAI = BR17.ENTRY_KAI)</t>
  </si>
  <si>
    <t>JOIN (SELECT * FROM BR18ENTD WHERE USERTYPE_CD = '01' AND DAY_KBN = '04') HONBU</t>
  </si>
  <si>
    <t xml:space="preserve">  ON (HONBU.ENTRY_CD = BR17.ENTRY_CD AND HONBU.ENTRY_YEAR = BR17.ENTRY_YEAR AND HONBU.ENTRY_KAI = BR17.ENTRY_KAI)</t>
  </si>
  <si>
    <t>JOIN (SELECT * FROM BR18ENTD WHERE USERTYPE_CD = '02' AND DAY_KBN = '04') ONER</t>
  </si>
  <si>
    <t xml:space="preserve">  ON (ONER.ENTRY_CD = BR17.ENTRY_CD AND ONER.ENTRY_YEAR = BR17.ENTRY_YEAR AND ONER.ENTRY_KAI = BR17.ENTRY_KAI)</t>
  </si>
  <si>
    <t>LEFT JOIN (</t>
  </si>
  <si>
    <t xml:space="preserve">          SELECT ENTRY_CD</t>
  </si>
  <si>
    <t xml:space="preserve">          ,      ENTRY_YEAR</t>
  </si>
  <si>
    <t xml:space="preserve">          ,      ENTRY_KAI</t>
  </si>
  <si>
    <t xml:space="preserve">          ,      SUM(CASE WHEN ENTRY_FLG = '1' THEN 1 ELSE 0 END) AS ATTEND_CNT</t>
  </si>
  <si>
    <t xml:space="preserve">          ,      SUM(CASE WHEN ENTRY_FLG != '1' THEN 1 ELSE 0 END) AS ABSENT_CNT</t>
  </si>
  <si>
    <t xml:space="preserve">          FROM BT21ENOJ BT21</t>
  </si>
  <si>
    <t xml:space="preserve">          ,    (SELECT MISE.COMPANY_CD</t>
  </si>
  <si>
    <t xml:space="preserve">                  ,    MISE.ONER_CD </t>
  </si>
  <si>
    <t xml:space="preserve">                  FROM BM11ONER ONER</t>
  </si>
  <si>
    <t xml:space="preserve">                  ,    BM01TENM MISE</t>
  </si>
  <si>
    <t xml:space="preserve">                  WHERE ONER.ONER_CD     != '39999' </t>
  </si>
  <si>
    <t xml:space="preserve">                  AND   ONER.KEIYAKU_STA &lt;= /*sysDate*/'20061213'</t>
  </si>
  <si>
    <t xml:space="preserve">                  AND   ONER.KEIYAKU_END &gt;= /*sysDate*/'20061213'</t>
  </si>
  <si>
    <t xml:space="preserve">                  AND   MISE.COMPANY_CD   = ONER.COMPANY_CD</t>
  </si>
  <si>
    <t xml:space="preserve">                  AND   MISE.ONER_CD   = ONER.ONER_CD</t>
  </si>
  <si>
    <t xml:space="preserve">                  GROUP BY MISE.COMPANY_CD</t>
  </si>
  <si>
    <t xml:space="preserve">                  ,        MISE.ONER_CD </t>
  </si>
  <si>
    <t xml:space="preserve">               ) BM11</t>
  </si>
  <si>
    <t xml:space="preserve">          WHERE BT21.ENTRY_CD     = /*entryCd*/'25'</t>
  </si>
  <si>
    <t xml:space="preserve">          AND   BT21.ENTRY_YEAR   = /*entryYear*/'2005'</t>
  </si>
  <si>
    <t xml:space="preserve">          AND   BT21.ENTRY_KAI    = /*entryKai*/'001'</t>
  </si>
  <si>
    <t xml:space="preserve">          AND   BT21.COMPANY_CD   = BM11.COMPANY_CD </t>
  </si>
  <si>
    <t xml:space="preserve">          AND   BT21.ONER_CD      = BM11.ONER_CD</t>
  </si>
  <si>
    <t xml:space="preserve">          GROUP BY ENTRY_CD</t>
  </si>
  <si>
    <t xml:space="preserve">          ,        ENTRY_YEAR</t>
  </si>
  <si>
    <t xml:space="preserve">          ,        ENTRY_KAI</t>
  </si>
  <si>
    <t xml:space="preserve">          ) BT21</t>
  </si>
  <si>
    <t xml:space="preserve">  ON (BT21.ENTRY_CD   = BR17.ENTRY_CD </t>
  </si>
  <si>
    <t xml:space="preserve">  AND BT21.ENTRY_YEAR = BR17.ENTRY_YEAR </t>
  </si>
  <si>
    <t xml:space="preserve">  AND BT21.ENTRY_KAI  = BR17.ENTRY_KAI)</t>
  </si>
  <si>
    <t>WHERE SAKUJO_FLG &lt;&gt; '1'</t>
  </si>
  <si>
    <t>AND   BR17.ENTRY_CD   = /*entryCd*/'25'</t>
  </si>
  <si>
    <t>AND   BR17.ENTRY_YEAR = /*entryYear*/'2006'</t>
  </si>
  <si>
    <t>AND   BR17.ENTRY_KAI  = /*entryKai*/'012'</t>
  </si>
  <si>
    <t>出欠件数情報(UIAttendAbsentCntInfo)</t>
    <rPh sb="0" eb="2">
      <t>シュッケツ</t>
    </rPh>
    <rPh sb="2" eb="4">
      <t>ケンスウ</t>
    </rPh>
    <rPh sb="4" eb="6">
      <t>ジョウホウ</t>
    </rPh>
    <phoneticPr fontId="5"/>
  </si>
  <si>
    <t>出欠件数情報(UIAttendAbsentCntInfoDao)</t>
    <phoneticPr fontId="5"/>
  </si>
  <si>
    <t>対象条件</t>
    <rPh sb="0" eb="2">
      <t>タイショウ</t>
    </rPh>
    <rPh sb="2" eb="4">
      <t>ジョウケン</t>
    </rPh>
    <phoneticPr fontId="5"/>
  </si>
  <si>
    <t>表示対象支部コード</t>
    <rPh sb="0" eb="2">
      <t>ヒョウジ</t>
    </rPh>
    <rPh sb="2" eb="4">
      <t>タイショウ</t>
    </rPh>
    <rPh sb="4" eb="6">
      <t>シブ</t>
    </rPh>
    <phoneticPr fontId="5"/>
  </si>
  <si>
    <t>表示対象SVコード</t>
    <rPh sb="0" eb="2">
      <t>ヒョウジ</t>
    </rPh>
    <rPh sb="2" eb="4">
      <t>タイショウ</t>
    </rPh>
    <phoneticPr fontId="5"/>
  </si>
  <si>
    <t>BM01TENM</t>
    <phoneticPr fontId="5"/>
  </si>
  <si>
    <t>参加人数</t>
    <rPh sb="0" eb="2">
      <t>サンカ</t>
    </rPh>
    <rPh sb="2" eb="4">
      <t>ニンズウ</t>
    </rPh>
    <phoneticPr fontId="5"/>
  </si>
  <si>
    <t>DECIMAL(6)</t>
    <phoneticPr fontId="5"/>
  </si>
  <si>
    <t>BT20ENON</t>
    <phoneticPr fontId="5"/>
  </si>
  <si>
    <t>BT20ENON</t>
    <phoneticPr fontId="5"/>
  </si>
  <si>
    <t>BT48NATI</t>
  </si>
  <si>
    <t>BT48NATI</t>
    <phoneticPr fontId="5"/>
  </si>
  <si>
    <t>職位</t>
    <rPh sb="0" eb="2">
      <t>ショクイ</t>
    </rPh>
    <phoneticPr fontId="5"/>
  </si>
  <si>
    <t>申込区分</t>
    <rPh sb="0" eb="2">
      <t>モウシコミ</t>
    </rPh>
    <rPh sb="2" eb="4">
      <t>クブン</t>
    </rPh>
    <phoneticPr fontId="5"/>
  </si>
  <si>
    <t>オプショナル１の名称</t>
    <rPh sb="8" eb="10">
      <t>メイショウ</t>
    </rPh>
    <phoneticPr fontId="5"/>
  </si>
  <si>
    <t>オプショナル２の名称</t>
    <rPh sb="8" eb="10">
      <t>メイショウ</t>
    </rPh>
    <phoneticPr fontId="5"/>
  </si>
  <si>
    <t>オプショナル３の名称</t>
    <rPh sb="8" eb="10">
      <t>メイショウ</t>
    </rPh>
    <phoneticPr fontId="5"/>
  </si>
  <si>
    <t>オプショナル４の名称</t>
    <rPh sb="8" eb="10">
      <t>メイショウ</t>
    </rPh>
    <phoneticPr fontId="5"/>
  </si>
  <si>
    <t>オプショナル５の名称</t>
    <rPh sb="8" eb="10">
      <t>メイショウ</t>
    </rPh>
    <phoneticPr fontId="5"/>
  </si>
  <si>
    <t>オプショナル６の名称</t>
    <rPh sb="8" eb="10">
      <t>メイショウ</t>
    </rPh>
    <phoneticPr fontId="5"/>
  </si>
  <si>
    <t>オプショナル７の名称</t>
    <rPh sb="8" eb="10">
      <t>メイショウ</t>
    </rPh>
    <phoneticPr fontId="5"/>
  </si>
  <si>
    <t>オプショナル８の名称</t>
    <rPh sb="8" eb="10">
      <t>メイショウ</t>
    </rPh>
    <phoneticPr fontId="5"/>
  </si>
  <si>
    <t>オプショナル９の名称</t>
    <rPh sb="8" eb="10">
      <t>メイショウ</t>
    </rPh>
    <phoneticPr fontId="5"/>
  </si>
  <si>
    <t>オプショナル１０の名称</t>
    <rPh sb="9" eb="11">
      <t>メイショウ</t>
    </rPh>
    <phoneticPr fontId="5"/>
  </si>
  <si>
    <t>CHAR(30)</t>
    <phoneticPr fontId="5"/>
  </si>
  <si>
    <t>OPTIONAL1</t>
    <phoneticPr fontId="5"/>
  </si>
  <si>
    <t>OPTIONAL2</t>
  </si>
  <si>
    <t>OPTIONAL3</t>
  </si>
  <si>
    <t>OPTIONAL4</t>
  </si>
  <si>
    <t>OPTIONAL5</t>
  </si>
  <si>
    <t>OPTIONAL6</t>
  </si>
  <si>
    <t>OPTIONAL7</t>
  </si>
  <si>
    <t>OPTIONAL8</t>
  </si>
  <si>
    <t>OPTIONAL9</t>
  </si>
  <si>
    <t>OPTIONAL10</t>
  </si>
  <si>
    <t>BT48NATI</t>
    <phoneticPr fontId="5"/>
  </si>
  <si>
    <t>SEQ_NO</t>
    <phoneticPr fontId="5"/>
  </si>
  <si>
    <t>ソート番号</t>
    <rPh sb="3" eb="5">
      <t>バンゴウ</t>
    </rPh>
    <phoneticPr fontId="5"/>
  </si>
  <si>
    <t>CHAR(20)</t>
    <phoneticPr fontId="5"/>
  </si>
  <si>
    <t>CHAR(3)</t>
    <phoneticPr fontId="5"/>
  </si>
  <si>
    <t>CHAR(2)</t>
    <phoneticPr fontId="5"/>
  </si>
  <si>
    <t>前ゼロ付加　99</t>
    <rPh sb="0" eb="1">
      <t>マエ</t>
    </rPh>
    <rPh sb="3" eb="5">
      <t>フカ</t>
    </rPh>
    <phoneticPr fontId="5"/>
  </si>
  <si>
    <t>全角のみ</t>
    <rPh sb="0" eb="2">
      <t>ゼンカク</t>
    </rPh>
    <phoneticPr fontId="5"/>
  </si>
  <si>
    <t>VARCHAR(100)</t>
    <phoneticPr fontId="5"/>
  </si>
  <si>
    <t>PROPOSE_KBN</t>
    <phoneticPr fontId="5"/>
  </si>
  <si>
    <t>JOB_TYPE</t>
    <phoneticPr fontId="5"/>
  </si>
  <si>
    <t>jp.co.isid.mos.bird.entry.nationalviewlist.dao.UIAttendAbsentCntInfoDao</t>
    <phoneticPr fontId="5"/>
  </si>
  <si>
    <t>参加フラグ</t>
    <rPh sb="0" eb="2">
      <t>サンカ</t>
    </rPh>
    <phoneticPr fontId="5"/>
  </si>
  <si>
    <t>ENTRY_FLG</t>
    <phoneticPr fontId="5"/>
  </si>
  <si>
    <t>0：不参加　1：参加　空：未使用</t>
    <rPh sb="2" eb="5">
      <t>フサンカ</t>
    </rPh>
    <rPh sb="8" eb="10">
      <t>サンカ</t>
    </rPh>
    <rPh sb="11" eb="12">
      <t>カラ</t>
    </rPh>
    <rPh sb="13" eb="16">
      <t>ミシヨウ</t>
    </rPh>
    <phoneticPr fontId="5"/>
  </si>
  <si>
    <t>申込状況一覧(UISibuOnerStatusList)</t>
    <phoneticPr fontId="5"/>
  </si>
  <si>
    <t>KAISAI_FROM_DT</t>
    <phoneticPr fontId="5"/>
  </si>
  <si>
    <t>KAISAI_TO_DT</t>
    <phoneticPr fontId="5"/>
  </si>
  <si>
    <t>開催日From</t>
    <rPh sb="0" eb="3">
      <t>カイサイビ</t>
    </rPh>
    <phoneticPr fontId="5"/>
  </si>
  <si>
    <t>開催日To</t>
    <rPh sb="0" eb="3">
      <t>カイサイビ</t>
    </rPh>
    <phoneticPr fontId="5"/>
  </si>
  <si>
    <t>ユーザーID</t>
    <phoneticPr fontId="5"/>
  </si>
  <si>
    <t>BIRTHDAY</t>
    <phoneticPr fontId="5"/>
  </si>
  <si>
    <t>String</t>
    <phoneticPr fontId="5"/>
  </si>
  <si>
    <t>NOTE1</t>
    <phoneticPr fontId="5"/>
  </si>
  <si>
    <t>備考1</t>
    <phoneticPr fontId="5"/>
  </si>
  <si>
    <t>VARCHAR(100)</t>
    <phoneticPr fontId="5"/>
  </si>
  <si>
    <t>備考2</t>
    <phoneticPr fontId="5"/>
  </si>
  <si>
    <t>2014/05/07 備考１を追加</t>
    <rPh sb="11" eb="13">
      <t>ビコウ</t>
    </rPh>
    <rPh sb="15" eb="17">
      <t>ツイカ</t>
    </rPh>
    <phoneticPr fontId="5"/>
  </si>
  <si>
    <t>2014/05/07 備考２を修正</t>
    <rPh sb="11" eb="13">
      <t>ビコウ</t>
    </rPh>
    <rPh sb="15" eb="17">
      <t>シュウセイ</t>
    </rPh>
    <phoneticPr fontId="5"/>
  </si>
  <si>
    <t>生年月日</t>
    <rPh sb="0" eb="1">
      <t>セイ</t>
    </rPh>
    <rPh sb="1" eb="3">
      <t>ネンゲツ</t>
    </rPh>
    <rPh sb="3" eb="4">
      <t>ビ</t>
    </rPh>
    <phoneticPr fontId="5"/>
  </si>
  <si>
    <t>2014/05/07 生年月日を追加</t>
    <rPh sb="16" eb="18">
      <t>ツイカ</t>
    </rPh>
    <phoneticPr fontId="5"/>
  </si>
  <si>
    <t>承認履歴</t>
    <rPh sb="0" eb="2">
      <t>ショウニン</t>
    </rPh>
    <rPh sb="2" eb="4">
      <t>リレキ</t>
    </rPh>
    <phoneticPr fontId="5"/>
  </si>
  <si>
    <t>バージョン</t>
    <phoneticPr fontId="5"/>
  </si>
  <si>
    <t>変更管理NO</t>
    <rPh sb="0" eb="2">
      <t>ヘンコウ</t>
    </rPh>
    <rPh sb="2" eb="4">
      <t>カンリ</t>
    </rPh>
    <phoneticPr fontId="5"/>
  </si>
  <si>
    <t>作成</t>
    <rPh sb="0" eb="2">
      <t>サクセイ</t>
    </rPh>
    <phoneticPr fontId="5"/>
  </si>
  <si>
    <t>レビュー</t>
    <phoneticPr fontId="5"/>
  </si>
  <si>
    <t>承認</t>
    <rPh sb="0" eb="2">
      <t>ショウニン</t>
    </rPh>
    <phoneticPr fontId="5"/>
  </si>
  <si>
    <t>担当者</t>
    <rPh sb="0" eb="3">
      <t>タントウシャ</t>
    </rPh>
    <phoneticPr fontId="5"/>
  </si>
  <si>
    <t>日付</t>
    <rPh sb="0" eb="2">
      <t>ヒヅケ</t>
    </rPh>
    <phoneticPr fontId="5"/>
  </si>
  <si>
    <t>01</t>
    <phoneticPr fontId="5"/>
  </si>
  <si>
    <t>201405-001</t>
    <phoneticPr fontId="5"/>
  </si>
  <si>
    <t>周春建</t>
    <rPh sb="0" eb="1">
      <t>シュウ</t>
    </rPh>
    <rPh sb="1" eb="2">
      <t>シュン</t>
    </rPh>
    <rPh sb="2" eb="3">
      <t>ケン</t>
    </rPh>
    <phoneticPr fontId="5"/>
  </si>
  <si>
    <t>変更履歴</t>
    <rPh sb="0" eb="2">
      <t>ヘンコウ</t>
    </rPh>
    <rPh sb="2" eb="4">
      <t>リレキ</t>
    </rPh>
    <phoneticPr fontId="5"/>
  </si>
  <si>
    <t>変更内容</t>
    <rPh sb="0" eb="2">
      <t>ヘンコウ</t>
    </rPh>
    <rPh sb="2" eb="4">
      <t>ナイヨウ</t>
    </rPh>
    <phoneticPr fontId="5"/>
  </si>
  <si>
    <t>王海軍</t>
    <rPh sb="0" eb="1">
      <t>オウ</t>
    </rPh>
    <rPh sb="1" eb="3">
      <t>カイグン</t>
    </rPh>
    <phoneticPr fontId="5"/>
  </si>
  <si>
    <t>セレクション情報(UINatiEntrySelectInfo)</t>
  </si>
  <si>
    <t>エントリーセレクションの情報を取得する</t>
    <rPh sb="12" eb="14">
      <t>ジョウホウ</t>
    </rPh>
    <rPh sb="15" eb="17">
      <t>シュトク</t>
    </rPh>
    <phoneticPr fontId="5"/>
  </si>
  <si>
    <t>セレクション区分</t>
    <rPh sb="6" eb="8">
      <t>クブン</t>
    </rPh>
    <phoneticPr fontId="5"/>
  </si>
  <si>
    <t>セレクションインデックス</t>
  </si>
  <si>
    <t>セレクション名称</t>
    <rPh sb="6" eb="8">
      <t>メイショウ</t>
    </rPh>
    <phoneticPr fontId="5"/>
  </si>
  <si>
    <t>セレクション名称有無</t>
    <rPh sb="6" eb="8">
      <t>メイショウ</t>
    </rPh>
    <rPh sb="8" eb="10">
      <t>ウム</t>
    </rPh>
    <phoneticPr fontId="5"/>
  </si>
  <si>
    <t>プロパティselectionNameの値から設定有無の判断処理を行うメソッド。メソッド名：isSelectionEmpty()</t>
    <rPh sb="19" eb="20">
      <t>アタイ</t>
    </rPh>
    <rPh sb="22" eb="24">
      <t>セッテイ</t>
    </rPh>
    <rPh sb="24" eb="26">
      <t>ウム</t>
    </rPh>
    <rPh sb="27" eb="29">
      <t>ハンダン</t>
    </rPh>
    <rPh sb="29" eb="31">
      <t>ショリ</t>
    </rPh>
    <rPh sb="32" eb="33">
      <t>オコナ</t>
    </rPh>
    <rPh sb="43" eb="44">
      <t>メイ</t>
    </rPh>
    <phoneticPr fontId="5"/>
  </si>
  <si>
    <t>セレクション情報取得DAO（UINatiEntrySelectInfoDao）</t>
    <rPh sb="6" eb="8">
      <t>ジョウホウ</t>
    </rPh>
    <rPh sb="8" eb="10">
      <t>シュトク</t>
    </rPh>
    <phoneticPr fontId="5"/>
  </si>
  <si>
    <t>エントリーセレクション情報の取得 (getNatiEntrySelectInfo)</t>
    <rPh sb="11" eb="13">
      <t>ジョウホウ</t>
    </rPh>
    <rPh sb="14" eb="16">
      <t>シュトク</t>
    </rPh>
    <phoneticPr fontId="5"/>
  </si>
  <si>
    <t>セレクション区分</t>
  </si>
  <si>
    <t>エントリーセレクション管理</t>
    <rPh sb="11" eb="13">
      <t>カンリ</t>
    </rPh>
    <phoneticPr fontId="5"/>
  </si>
  <si>
    <t>エントリーセレクション管理.エントリー年 =  'エントリー年'</t>
    <rPh sb="19" eb="20">
      <t>ネン</t>
    </rPh>
    <rPh sb="30" eb="31">
      <t>ネン</t>
    </rPh>
    <phoneticPr fontId="5"/>
  </si>
  <si>
    <t>エントリーセレクション管理.エントリー回 =  'エントリー回'　</t>
    <rPh sb="19" eb="20">
      <t>カイ</t>
    </rPh>
    <rPh sb="30" eb="31">
      <t>カイ</t>
    </rPh>
    <phoneticPr fontId="5"/>
  </si>
  <si>
    <t>エントリーセレクション管理.セレクション区分 = 'セレクション区分'</t>
    <rPh sb="11" eb="13">
      <t>カンリ</t>
    </rPh>
    <rPh sb="20" eb="22">
      <t>クブン</t>
    </rPh>
    <rPh sb="32" eb="34">
      <t>クブン</t>
    </rPh>
    <phoneticPr fontId="5"/>
  </si>
  <si>
    <t>2012/06/21　xkinu 削除　改修(申込・オプショナル（宿泊・ツアー関連）歯抜け）対応</t>
    <rPh sb="17" eb="19">
      <t>サクジョ</t>
    </rPh>
    <rPh sb="20" eb="22">
      <t>カイシュウ</t>
    </rPh>
    <rPh sb="23" eb="25">
      <t>モウシコミ</t>
    </rPh>
    <rPh sb="33" eb="35">
      <t>シュクハク</t>
    </rPh>
    <rPh sb="39" eb="41">
      <t>カンレン</t>
    </rPh>
    <rPh sb="42" eb="44">
      <t>ハヌ</t>
    </rPh>
    <rPh sb="46" eb="48">
      <t>タイオウ</t>
    </rPh>
    <phoneticPr fontId="5"/>
  </si>
  <si>
    <t>作成者：SHSC 周春建
作成日：2014/05/07</t>
    <rPh sb="0" eb="2">
      <t>サクセイ</t>
    </rPh>
    <rPh sb="2" eb="3">
      <t>シャ</t>
    </rPh>
    <rPh sb="9" eb="10">
      <t>シュウ</t>
    </rPh>
    <rPh sb="10" eb="11">
      <t>シュン</t>
    </rPh>
    <rPh sb="11" eb="12">
      <t>ケン</t>
    </rPh>
    <rPh sb="13" eb="15">
      <t>サクセイ</t>
    </rPh>
    <rPh sb="15" eb="16">
      <t>ヒ</t>
    </rPh>
    <phoneticPr fontId="5"/>
  </si>
  <si>
    <t>CHAR(5)</t>
    <phoneticPr fontId="5"/>
  </si>
  <si>
    <t>SELECTION_KBN</t>
    <phoneticPr fontId="5"/>
  </si>
  <si>
    <t>String</t>
    <phoneticPr fontId="5"/>
  </si>
  <si>
    <t>CHAR(47)</t>
    <phoneticPr fontId="5"/>
  </si>
  <si>
    <t>SELECTION_INDEX</t>
    <phoneticPr fontId="5"/>
  </si>
  <si>
    <t>SELECTION_NAME</t>
    <phoneticPr fontId="5"/>
  </si>
  <si>
    <t>-</t>
    <phoneticPr fontId="5"/>
  </si>
  <si>
    <t>boolean</t>
    <phoneticPr fontId="5"/>
  </si>
  <si>
    <t>エントリーコード</t>
    <phoneticPr fontId="5"/>
  </si>
  <si>
    <t>BR53ENTS</t>
    <phoneticPr fontId="5"/>
  </si>
  <si>
    <t>エントリーセレクション管理.エントリコード = 'エントリーコード'</t>
    <phoneticPr fontId="5"/>
  </si>
  <si>
    <t>AND</t>
    <phoneticPr fontId="5"/>
  </si>
  <si>
    <t>jp.co.isid.mos.bird.entry.nationalviewlist.entity.UINatiEntrySelectInfo</t>
    <phoneticPr fontId="5"/>
  </si>
  <si>
    <t>jp.co.isid.mos.bird.entry.nationalviewlist.dao.UINatiEntrySelectInfoDao</t>
    <phoneticPr fontId="5"/>
  </si>
  <si>
    <t>CSV申込状況一覧(UICsvStatusList)シート：
・「生年月日」、「備考１」を追加する。
・「備考」を「備考２」を修正する。
セレクション情報(UINatiEntrySelectInfo)シートを追加する。</t>
    <rPh sb="33" eb="34">
      <t>セイ</t>
    </rPh>
    <rPh sb="34" eb="36">
      <t>ネンゲツ</t>
    </rPh>
    <rPh sb="36" eb="37">
      <t>ビ</t>
    </rPh>
    <rPh sb="40" eb="42">
      <t>ビコウ</t>
    </rPh>
    <rPh sb="45" eb="47">
      <t>ツイカ</t>
    </rPh>
    <rPh sb="53" eb="55">
      <t>ビコウ</t>
    </rPh>
    <rPh sb="58" eb="60">
      <t>ビコウ</t>
    </rPh>
    <rPh sb="63" eb="65">
      <t>シュウセイ</t>
    </rPh>
    <rPh sb="104" eb="106">
      <t>ツイカ</t>
    </rPh>
    <phoneticPr fontId="5"/>
  </si>
  <si>
    <t>03</t>
    <phoneticPr fontId="5"/>
  </si>
  <si>
    <t>田村雄一</t>
    <rPh sb="0" eb="2">
      <t>タムラ</t>
    </rPh>
    <rPh sb="2" eb="4">
      <t>ユウイチ</t>
    </rPh>
    <phoneticPr fontId="5"/>
  </si>
  <si>
    <t>矢嶋一彦</t>
    <rPh sb="0" eb="2">
      <t>ヤジマ</t>
    </rPh>
    <rPh sb="2" eb="4">
      <t>カズヒコ</t>
    </rPh>
    <phoneticPr fontId="5"/>
  </si>
  <si>
    <t>田中宣行</t>
    <rPh sb="0" eb="2">
      <t>タナカ</t>
    </rPh>
    <rPh sb="2" eb="4">
      <t>ノリユキ</t>
    </rPh>
    <phoneticPr fontId="5"/>
  </si>
  <si>
    <t>BR17ENTL</t>
    <phoneticPr fontId="5"/>
  </si>
  <si>
    <t>オプショナル１１の名称</t>
    <rPh sb="9" eb="11">
      <t>メイショウ</t>
    </rPh>
    <phoneticPr fontId="5"/>
  </si>
  <si>
    <t>OPTIONAL11</t>
    <phoneticPr fontId="5"/>
  </si>
  <si>
    <t>OPTIONAL12</t>
    <phoneticPr fontId="5"/>
  </si>
  <si>
    <t>OPTIONAL13</t>
    <phoneticPr fontId="5"/>
  </si>
  <si>
    <t>OPTIONAL14</t>
    <phoneticPr fontId="5"/>
  </si>
  <si>
    <t>OPTIONAL15</t>
    <phoneticPr fontId="5"/>
  </si>
  <si>
    <t>OPTIONAL16</t>
    <phoneticPr fontId="5"/>
  </si>
  <si>
    <t>OPTIONAL21</t>
    <phoneticPr fontId="5"/>
  </si>
  <si>
    <t>OPTIONAL22</t>
    <phoneticPr fontId="5"/>
  </si>
  <si>
    <t>OPTIONAL23</t>
    <phoneticPr fontId="5"/>
  </si>
  <si>
    <t>OPTIONAL24</t>
    <phoneticPr fontId="5"/>
  </si>
  <si>
    <t>OPTIONAL25</t>
    <phoneticPr fontId="5"/>
  </si>
  <si>
    <t>OPTIONAL26</t>
    <phoneticPr fontId="5"/>
  </si>
  <si>
    <t>OPTIONAL27</t>
    <phoneticPr fontId="5"/>
  </si>
  <si>
    <t>OPTIONAL28</t>
    <phoneticPr fontId="5"/>
  </si>
  <si>
    <t>OPTIONAL29</t>
    <phoneticPr fontId="5"/>
  </si>
  <si>
    <t>OPTIONAL30</t>
    <phoneticPr fontId="5"/>
  </si>
  <si>
    <t>オプショナル１２の名称</t>
    <rPh sb="9" eb="11">
      <t>メイショウ</t>
    </rPh>
    <phoneticPr fontId="5"/>
  </si>
  <si>
    <t>オプショナル１３の名称</t>
    <rPh sb="9" eb="11">
      <t>メイショウ</t>
    </rPh>
    <phoneticPr fontId="5"/>
  </si>
  <si>
    <t>オプショナル１４の名称</t>
    <rPh sb="9" eb="11">
      <t>メイショウ</t>
    </rPh>
    <phoneticPr fontId="5"/>
  </si>
  <si>
    <t>オプショナル１５の名称</t>
    <rPh sb="9" eb="11">
      <t>メイショウ</t>
    </rPh>
    <phoneticPr fontId="5"/>
  </si>
  <si>
    <t>オプショナル１６の名称</t>
    <rPh sb="9" eb="11">
      <t>メイショウ</t>
    </rPh>
    <phoneticPr fontId="5"/>
  </si>
  <si>
    <t>オプショナル２１の名称</t>
    <rPh sb="9" eb="11">
      <t>メイショウ</t>
    </rPh>
    <phoneticPr fontId="5"/>
  </si>
  <si>
    <t>オプショナル２２の名称</t>
    <rPh sb="9" eb="11">
      <t>メイショウ</t>
    </rPh>
    <phoneticPr fontId="5"/>
  </si>
  <si>
    <t>オプショナル２３の名称</t>
    <rPh sb="9" eb="11">
      <t>メイショウ</t>
    </rPh>
    <phoneticPr fontId="5"/>
  </si>
  <si>
    <t>オプショナル２４の名称</t>
    <rPh sb="9" eb="11">
      <t>メイショウ</t>
    </rPh>
    <phoneticPr fontId="5"/>
  </si>
  <si>
    <t>オプショナル２５の名称</t>
    <rPh sb="9" eb="11">
      <t>メイショウ</t>
    </rPh>
    <phoneticPr fontId="5"/>
  </si>
  <si>
    <t>オプショナル２６の名称</t>
    <rPh sb="9" eb="11">
      <t>メイショウ</t>
    </rPh>
    <phoneticPr fontId="5"/>
  </si>
  <si>
    <t>オプショナル２７の名称</t>
    <rPh sb="9" eb="11">
      <t>メイショウ</t>
    </rPh>
    <phoneticPr fontId="5"/>
  </si>
  <si>
    <t>オプショナル２８の名称</t>
    <rPh sb="9" eb="11">
      <t>メイショウ</t>
    </rPh>
    <phoneticPr fontId="5"/>
  </si>
  <si>
    <t>オプショナル２９の名称</t>
    <rPh sb="9" eb="11">
      <t>メイショウ</t>
    </rPh>
    <phoneticPr fontId="5"/>
  </si>
  <si>
    <t>オプショナル３０の名称</t>
    <rPh sb="9" eb="11">
      <t>メイショウ</t>
    </rPh>
    <phoneticPr fontId="5"/>
  </si>
  <si>
    <t>Ver.03追加</t>
    <rPh sb="6" eb="8">
      <t>ツイカ</t>
    </rPh>
    <phoneticPr fontId="5"/>
  </si>
  <si>
    <t>オプショナル（宿泊関連）1</t>
    <phoneticPr fontId="5"/>
  </si>
  <si>
    <t>オプショナル（宿泊関連）2</t>
    <phoneticPr fontId="5"/>
  </si>
  <si>
    <t>オプショナル（宿泊関連）3</t>
    <phoneticPr fontId="5"/>
  </si>
  <si>
    <t>オプショナル（宿泊関連）4</t>
    <phoneticPr fontId="5"/>
  </si>
  <si>
    <t>オプショナル（ツアー関連）1</t>
    <phoneticPr fontId="5"/>
  </si>
  <si>
    <t>オプショナル（ツアー関連）2</t>
    <phoneticPr fontId="5"/>
  </si>
  <si>
    <t>オプショナル（ツアー関連）3</t>
  </si>
  <si>
    <t>オプショナル（ツアー関連）4</t>
  </si>
  <si>
    <t>オプショナル（ツアー関連）5</t>
  </si>
  <si>
    <t>オプショナル（ツアー関連）6</t>
  </si>
  <si>
    <t>オプショナル（宿泊関連）6</t>
    <phoneticPr fontId="5"/>
  </si>
  <si>
    <t>オプショナル（宿泊関連）7</t>
  </si>
  <si>
    <t>オプショナル（宿泊関連）8</t>
  </si>
  <si>
    <t>オプショナル（宿泊関連）9</t>
  </si>
  <si>
    <t>オプショナル（その他）1</t>
    <phoneticPr fontId="5"/>
  </si>
  <si>
    <t>オプショナル（その他）2</t>
    <phoneticPr fontId="5"/>
  </si>
  <si>
    <t>オプショナル（その他）3</t>
  </si>
  <si>
    <t>オプショナル（その他）4</t>
  </si>
  <si>
    <t>オプショナル（その他）5</t>
  </si>
  <si>
    <t>オプショナル（その他）6</t>
  </si>
  <si>
    <t>オプショナル（その他）7</t>
  </si>
  <si>
    <t>オプショナル（その他）8</t>
  </si>
  <si>
    <t>オプショナル（その他）9</t>
  </si>
  <si>
    <t>オプショナル（その他）10</t>
  </si>
  <si>
    <t>更新者：ISID-AO 田村雄一
更新日：2017/05/09</t>
    <rPh sb="0" eb="3">
      <t>コウシンシャ</t>
    </rPh>
    <rPh sb="12" eb="14">
      <t>タムラ</t>
    </rPh>
    <rPh sb="14" eb="16">
      <t>ユウイチ</t>
    </rPh>
    <rPh sb="17" eb="19">
      <t>コウシン</t>
    </rPh>
    <rPh sb="19" eb="20">
      <t>ヒ</t>
    </rPh>
    <phoneticPr fontId="5"/>
  </si>
  <si>
    <t>オプショナル（宿泊関連）5</t>
    <phoneticPr fontId="5"/>
  </si>
  <si>
    <t>オプショナル（宿泊関連）10</t>
    <phoneticPr fontId="5"/>
  </si>
  <si>
    <t>全国大会開催に伴う改修</t>
  </si>
  <si>
    <t>　オプショナル（宿泊関連）の項目数を4個から10個変更、オプショナル（その他）を追加するための対応</t>
    <phoneticPr fontId="5"/>
  </si>
  <si>
    <t>　　「CSV申込状況一覧(UICsvStatusList)」</t>
    <phoneticPr fontId="5"/>
  </si>
  <si>
    <t>　　　オプショナル11～オプショナル30を追加</t>
    <phoneticPr fontId="5"/>
  </si>
  <si>
    <t>BR53ENTS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</si>
</sst>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/mm"/>
  </numFmts>
  <fonts count="50" x14ac:knownFonts="1"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i/>
      <sz val="10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i/>
      <sz val="12"/>
      <color indexed="10"/>
      <name val="ＭＳ Ｐゴシック"/>
      <family val="3"/>
      <charset val="128"/>
    </font>
    <font>
      <sz val="9"/>
      <name val="ＭＳ ゴシック"/>
      <family val="3"/>
      <charset val="128"/>
    </font>
    <font>
      <i/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22"/>
      <color indexed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0"/>
      <color indexed="42"/>
      <name val="ＭＳ Ｐゴシック"/>
      <family val="3"/>
      <charset val="128"/>
    </font>
    <font>
      <i/>
      <sz val="10"/>
      <color indexed="42"/>
      <name val="ＭＳ Ｐゴシック"/>
      <family val="3"/>
      <charset val="128"/>
    </font>
    <font>
      <i/>
      <sz val="10"/>
      <color indexed="12"/>
      <name val="ＭＳ Ｐゴシック"/>
      <family val="3"/>
      <charset val="128"/>
    </font>
    <font>
      <sz val="10"/>
      <color indexed="48"/>
      <name val="ＭＳ Ｐゴシック"/>
      <family val="3"/>
      <charset val="128"/>
    </font>
    <font>
      <sz val="10"/>
      <color indexed="4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9"/>
      <color indexed="10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i/>
      <sz val="10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44"/>
      <name val="ＭＳ Ｐゴシック"/>
      <family val="3"/>
      <charset val="128"/>
    </font>
    <font>
      <sz val="10"/>
      <color indexed="62"/>
      <name val="ＭＳ Ｐゴシック"/>
      <family val="3"/>
      <charset val="128"/>
    </font>
    <font>
      <strike/>
      <sz val="10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1"/>
      <color indexed="10"/>
      <name val="ＭＳ 明朝"/>
      <family val="1"/>
      <charset val="128"/>
    </font>
    <font>
      <b/>
      <u/>
      <sz val="9"/>
      <color indexed="53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22"/>
      <color theme="1"/>
      <name val="ＭＳ Ｐゴシック"/>
      <family val="3"/>
      <charset val="128"/>
    </font>
    <font>
      <b/>
      <i/>
      <sz val="12"/>
      <color theme="1"/>
      <name val="ＭＳ Ｐゴシック"/>
      <family val="3"/>
      <charset val="128"/>
    </font>
    <font>
      <i/>
      <sz val="11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10"/>
      <color theme="1"/>
      <name val="ＭＳ Ｐゴシック"/>
      <family val="3"/>
      <charset val="128"/>
    </font>
    <font>
      <i/>
      <sz val="10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strike/>
      <sz val="10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1" fillId="0" borderId="0">
      <alignment vertical="center"/>
    </xf>
    <xf numFmtId="0" fontId="21" fillId="0" borderId="0"/>
  </cellStyleXfs>
  <cellXfs count="260">
    <xf numFmtId="0" fontId="0" fillId="0" borderId="0" xfId="0"/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1" fillId="0" borderId="0" xfId="0" applyFont="1" applyAlignment="1"/>
    <xf numFmtId="0" fontId="6" fillId="0" borderId="0" xfId="0" applyFont="1"/>
    <xf numFmtId="0" fontId="0" fillId="0" borderId="1" xfId="0" applyBorder="1"/>
    <xf numFmtId="0" fontId="6" fillId="2" borderId="1" xfId="0" applyFont="1" applyFill="1" applyBorder="1"/>
    <xf numFmtId="10" fontId="8" fillId="0" borderId="0" xfId="0" applyNumberFormat="1" applyFont="1"/>
    <xf numFmtId="0" fontId="9" fillId="0" borderId="0" xfId="0" applyFont="1" applyAlignment="1"/>
    <xf numFmtId="0" fontId="10" fillId="0" borderId="0" xfId="0" applyFo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1" xfId="0" applyFont="1" applyBorder="1" applyAlignment="1"/>
    <xf numFmtId="0" fontId="11" fillId="0" borderId="0" xfId="0" applyFont="1" applyAlignment="1"/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7" fillId="0" borderId="2" xfId="0" applyFont="1" applyBorder="1" applyAlignment="1"/>
    <xf numFmtId="0" fontId="6" fillId="4" borderId="0" xfId="0" applyFont="1" applyFill="1"/>
    <xf numFmtId="0" fontId="1" fillId="0" borderId="5" xfId="0" applyFont="1" applyBorder="1"/>
    <xf numFmtId="0" fontId="12" fillId="0" borderId="6" xfId="0" applyFont="1" applyBorder="1"/>
    <xf numFmtId="0" fontId="13" fillId="0" borderId="6" xfId="0" applyFont="1" applyBorder="1" applyAlignment="1">
      <alignment wrapText="1"/>
    </xf>
    <xf numFmtId="0" fontId="0" fillId="0" borderId="5" xfId="0" applyBorder="1" applyAlignment="1"/>
    <xf numFmtId="0" fontId="0" fillId="0" borderId="6" xfId="0" applyBorder="1" applyAlignment="1"/>
    <xf numFmtId="0" fontId="1" fillId="0" borderId="6" xfId="0" applyFont="1" applyBorder="1"/>
    <xf numFmtId="0" fontId="13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left" wrapText="1"/>
    </xf>
    <xf numFmtId="0" fontId="14" fillId="0" borderId="0" xfId="0" applyFont="1" applyBorder="1" applyAlignment="1"/>
    <xf numFmtId="0" fontId="1" fillId="0" borderId="0" xfId="0" applyFont="1" applyFill="1" applyBorder="1" applyAlignment="1">
      <alignment vertical="center"/>
    </xf>
    <xf numFmtId="0" fontId="1" fillId="0" borderId="0" xfId="0" applyFont="1" applyBorder="1" applyAlignment="1"/>
    <xf numFmtId="0" fontId="7" fillId="0" borderId="0" xfId="0" applyFont="1" applyBorder="1" applyAlignment="1"/>
    <xf numFmtId="0" fontId="0" fillId="0" borderId="0" xfId="0" applyBorder="1" applyAlignment="1"/>
    <xf numFmtId="0" fontId="15" fillId="0" borderId="0" xfId="0" applyFont="1" applyBorder="1" applyAlignment="1"/>
    <xf numFmtId="0" fontId="16" fillId="0" borderId="0" xfId="0" applyFont="1" applyFill="1" applyBorder="1" applyAlignment="1">
      <alignment vertical="center"/>
    </xf>
    <xf numFmtId="0" fontId="16" fillId="0" borderId="0" xfId="0" applyFont="1" applyBorder="1" applyAlignment="1"/>
    <xf numFmtId="0" fontId="17" fillId="0" borderId="0" xfId="0" applyFont="1" applyBorder="1" applyAlignment="1"/>
    <xf numFmtId="0" fontId="1" fillId="5" borderId="0" xfId="0" applyFont="1" applyFill="1" applyBorder="1" applyAlignment="1">
      <alignment vertical="center"/>
    </xf>
    <xf numFmtId="0" fontId="1" fillId="5" borderId="0" xfId="0" applyFont="1" applyFill="1" applyBorder="1" applyAlignment="1"/>
    <xf numFmtId="0" fontId="7" fillId="5" borderId="0" xfId="0" applyFont="1" applyFill="1" applyBorder="1" applyAlignment="1"/>
    <xf numFmtId="0" fontId="0" fillId="5" borderId="0" xfId="0" applyFill="1" applyBorder="1" applyAlignment="1"/>
    <xf numFmtId="0" fontId="1" fillId="0" borderId="1" xfId="0" applyFont="1" applyFill="1" applyBorder="1" applyAlignment="1"/>
    <xf numFmtId="0" fontId="1" fillId="0" borderId="1" xfId="0" applyFont="1" applyBorder="1" applyAlignment="1">
      <alignment vertical="center"/>
    </xf>
    <xf numFmtId="0" fontId="1" fillId="0" borderId="4" xfId="0" applyFont="1" applyBorder="1" applyAlignment="1"/>
    <xf numFmtId="0" fontId="18" fillId="0" borderId="1" xfId="0" applyFont="1" applyBorder="1" applyAlignment="1">
      <alignment vertical="center"/>
    </xf>
    <xf numFmtId="0" fontId="4" fillId="4" borderId="1" xfId="0" applyFont="1" applyFill="1" applyBorder="1" applyAlignment="1">
      <alignment wrapText="1"/>
    </xf>
    <xf numFmtId="0" fontId="1" fillId="0" borderId="0" xfId="0" applyFont="1" applyFill="1" applyBorder="1" applyAlignment="1"/>
    <xf numFmtId="0" fontId="19" fillId="0" borderId="0" xfId="0" applyFont="1" applyFill="1" applyBorder="1" applyAlignment="1"/>
    <xf numFmtId="0" fontId="20" fillId="4" borderId="1" xfId="0" applyFont="1" applyFill="1" applyBorder="1" applyAlignment="1"/>
    <xf numFmtId="0" fontId="0" fillId="0" borderId="0" xfId="0" applyFill="1" applyBorder="1" applyAlignment="1"/>
    <xf numFmtId="0" fontId="1" fillId="4" borderId="1" xfId="0" applyFont="1" applyFill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9" fillId="0" borderId="0" xfId="0" applyFont="1" applyBorder="1" applyAlignment="1"/>
    <xf numFmtId="0" fontId="1" fillId="4" borderId="10" xfId="0" applyFont="1" applyFill="1" applyBorder="1" applyAlignment="1"/>
    <xf numFmtId="0" fontId="1" fillId="4" borderId="4" xfId="0" applyFont="1" applyFill="1" applyBorder="1" applyAlignment="1"/>
    <xf numFmtId="0" fontId="1" fillId="0" borderId="11" xfId="0" applyFont="1" applyBorder="1" applyAlignment="1">
      <alignment vertical="center"/>
    </xf>
    <xf numFmtId="0" fontId="4" fillId="4" borderId="10" xfId="0" applyFont="1" applyFill="1" applyBorder="1" applyAlignment="1">
      <alignment wrapText="1"/>
    </xf>
    <xf numFmtId="0" fontId="1" fillId="4" borderId="12" xfId="0" applyFont="1" applyFill="1" applyBorder="1" applyAlignment="1"/>
    <xf numFmtId="0" fontId="4" fillId="3" borderId="12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vertical="center"/>
    </xf>
    <xf numFmtId="0" fontId="0" fillId="0" borderId="8" xfId="0" applyBorder="1" applyAlignment="1"/>
    <xf numFmtId="0" fontId="18" fillId="0" borderId="0" xfId="0" applyFont="1" applyBorder="1" applyAlignment="1"/>
    <xf numFmtId="0" fontId="1" fillId="0" borderId="11" xfId="0" applyFont="1" applyBorder="1" applyAlignment="1"/>
    <xf numFmtId="0" fontId="18" fillId="0" borderId="0" xfId="0" applyFont="1" applyFill="1" applyBorder="1" applyAlignment="1">
      <alignment vertical="center"/>
    </xf>
    <xf numFmtId="0" fontId="7" fillId="0" borderId="9" xfId="0" applyFont="1" applyBorder="1" applyAlignment="1"/>
    <xf numFmtId="0" fontId="18" fillId="0" borderId="2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2" fillId="0" borderId="0" xfId="0" applyFont="1" applyAlignment="1"/>
    <xf numFmtId="0" fontId="6" fillId="4" borderId="10" xfId="0" applyFont="1" applyFill="1" applyBorder="1" applyAlignment="1"/>
    <xf numFmtId="0" fontId="1" fillId="4" borderId="12" xfId="0" applyFont="1" applyFill="1" applyBorder="1" applyAlignment="1">
      <alignment vertical="center"/>
    </xf>
    <xf numFmtId="0" fontId="0" fillId="4" borderId="4" xfId="0" applyFill="1" applyBorder="1" applyAlignment="1"/>
    <xf numFmtId="14" fontId="23" fillId="0" borderId="0" xfId="0" applyNumberFormat="1" applyFont="1" applyAlignment="1"/>
    <xf numFmtId="0" fontId="1" fillId="0" borderId="3" xfId="0" applyFont="1" applyFill="1" applyBorder="1" applyAlignment="1"/>
    <xf numFmtId="0" fontId="7" fillId="0" borderId="2" xfId="0" applyFont="1" applyFill="1" applyBorder="1" applyAlignment="1"/>
    <xf numFmtId="0" fontId="1" fillId="0" borderId="1" xfId="2" applyFont="1" applyBorder="1"/>
    <xf numFmtId="194" fontId="1" fillId="0" borderId="1" xfId="2" applyNumberFormat="1" applyFont="1" applyBorder="1"/>
    <xf numFmtId="0" fontId="24" fillId="0" borderId="0" xfId="0" applyFont="1"/>
    <xf numFmtId="0" fontId="1" fillId="0" borderId="12" xfId="0" applyFont="1" applyBorder="1" applyAlignment="1">
      <alignment vertical="center"/>
    </xf>
    <xf numFmtId="0" fontId="1" fillId="0" borderId="12" xfId="0" applyFont="1" applyFill="1" applyBorder="1" applyAlignment="1"/>
    <xf numFmtId="0" fontId="1" fillId="0" borderId="1" xfId="0" applyFont="1" applyFill="1" applyBorder="1" applyAlignment="1">
      <alignment wrapText="1"/>
    </xf>
    <xf numFmtId="0" fontId="18" fillId="0" borderId="1" xfId="0" applyFont="1" applyFill="1" applyBorder="1" applyAlignment="1"/>
    <xf numFmtId="0" fontId="1" fillId="0" borderId="1" xfId="2" applyFont="1" applyFill="1" applyBorder="1"/>
    <xf numFmtId="0" fontId="7" fillId="0" borderId="9" xfId="0" applyFont="1" applyFill="1" applyBorder="1" applyAlignment="1"/>
    <xf numFmtId="0" fontId="18" fillId="0" borderId="2" xfId="0" applyFont="1" applyFill="1" applyBorder="1" applyAlignment="1">
      <alignment vertical="center"/>
    </xf>
    <xf numFmtId="0" fontId="15" fillId="0" borderId="0" xfId="0" applyFont="1" applyAlignment="1"/>
    <xf numFmtId="0" fontId="26" fillId="0" borderId="1" xfId="0" applyFont="1" applyBorder="1" applyAlignment="1">
      <alignment vertical="center"/>
    </xf>
    <xf numFmtId="0" fontId="25" fillId="0" borderId="0" xfId="0" applyFont="1" applyBorder="1" applyAlignment="1">
      <alignment vertical="top" wrapText="1"/>
    </xf>
    <xf numFmtId="0" fontId="1" fillId="0" borderId="9" xfId="0" applyFont="1" applyFill="1" applyBorder="1" applyAlignment="1"/>
    <xf numFmtId="0" fontId="1" fillId="0" borderId="13" xfId="0" applyFont="1" applyBorder="1" applyAlignment="1"/>
    <xf numFmtId="0" fontId="1" fillId="0" borderId="10" xfId="0" applyFont="1" applyBorder="1" applyAlignment="1"/>
    <xf numFmtId="0" fontId="19" fillId="0" borderId="4" xfId="0" applyFont="1" applyBorder="1" applyAlignment="1"/>
    <xf numFmtId="0" fontId="4" fillId="0" borderId="9" xfId="0" applyFont="1" applyFill="1" applyBorder="1" applyAlignment="1">
      <alignment wrapText="1"/>
    </xf>
    <xf numFmtId="0" fontId="1" fillId="0" borderId="12" xfId="0" applyFont="1" applyBorder="1" applyAlignment="1"/>
    <xf numFmtId="0" fontId="0" fillId="0" borderId="13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4" xfId="0" applyBorder="1" applyAlignment="1">
      <alignment vertical="top"/>
    </xf>
    <xf numFmtId="0" fontId="4" fillId="0" borderId="0" xfId="0" applyFont="1" applyFill="1" applyBorder="1" applyAlignment="1">
      <alignment wrapText="1"/>
    </xf>
    <xf numFmtId="0" fontId="1" fillId="0" borderId="0" xfId="0" applyFont="1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3" xfId="0" applyBorder="1" applyAlignment="1">
      <alignment vertical="top"/>
    </xf>
    <xf numFmtId="194" fontId="1" fillId="0" borderId="0" xfId="2" applyNumberFormat="1" applyFont="1" applyBorder="1"/>
    <xf numFmtId="0" fontId="18" fillId="0" borderId="0" xfId="0" applyFont="1" applyFill="1" applyBorder="1" applyAlignment="1"/>
    <xf numFmtId="0" fontId="1" fillId="0" borderId="15" xfId="0" applyFont="1" applyBorder="1" applyAlignment="1"/>
    <xf numFmtId="0" fontId="1" fillId="0" borderId="14" xfId="0" applyFont="1" applyBorder="1" applyAlignment="1"/>
    <xf numFmtId="0" fontId="25" fillId="0" borderId="7" xfId="0" applyFont="1" applyBorder="1" applyAlignment="1">
      <alignment vertical="top"/>
    </xf>
    <xf numFmtId="0" fontId="25" fillId="0" borderId="0" xfId="0" applyFont="1" applyBorder="1" applyAlignment="1">
      <alignment vertical="top"/>
    </xf>
    <xf numFmtId="0" fontId="25" fillId="0" borderId="0" xfId="0" applyFont="1" applyFill="1" applyBorder="1" applyAlignment="1">
      <alignment vertical="top"/>
    </xf>
    <xf numFmtId="0" fontId="0" fillId="0" borderId="14" xfId="0" applyBorder="1" applyAlignment="1"/>
    <xf numFmtId="0" fontId="0" fillId="0" borderId="11" xfId="0" applyBorder="1" applyAlignment="1"/>
    <xf numFmtId="0" fontId="0" fillId="0" borderId="9" xfId="0" applyBorder="1" applyAlignment="1"/>
    <xf numFmtId="0" fontId="0" fillId="0" borderId="3" xfId="0" applyBorder="1" applyAlignment="1"/>
    <xf numFmtId="0" fontId="1" fillId="4" borderId="4" xfId="0" applyFont="1" applyFill="1" applyBorder="1" applyAlignment="1">
      <alignment vertical="center"/>
    </xf>
    <xf numFmtId="0" fontId="0" fillId="0" borderId="15" xfId="0" applyBorder="1" applyAlignment="1"/>
    <xf numFmtId="0" fontId="0" fillId="0" borderId="8" xfId="0" applyFill="1" applyBorder="1" applyAlignment="1"/>
    <xf numFmtId="0" fontId="25" fillId="0" borderId="15" xfId="0" applyFont="1" applyBorder="1" applyAlignment="1">
      <alignment vertical="top"/>
    </xf>
    <xf numFmtId="0" fontId="25" fillId="0" borderId="8" xfId="0" applyFont="1" applyBorder="1" applyAlignment="1">
      <alignment vertical="top"/>
    </xf>
    <xf numFmtId="0" fontId="0" fillId="4" borderId="0" xfId="0" applyFill="1" applyBorder="1" applyAlignment="1"/>
    <xf numFmtId="0" fontId="25" fillId="0" borderId="14" xfId="0" applyFont="1" applyBorder="1" applyAlignment="1">
      <alignment vertical="top"/>
    </xf>
    <xf numFmtId="0" fontId="25" fillId="0" borderId="8" xfId="0" applyFont="1" applyBorder="1" applyAlignment="1"/>
    <xf numFmtId="0" fontId="25" fillId="0" borderId="14" xfId="0" applyFont="1" applyBorder="1" applyAlignment="1"/>
    <xf numFmtId="0" fontId="27" fillId="0" borderId="11" xfId="0" applyFont="1" applyBorder="1" applyAlignment="1"/>
    <xf numFmtId="0" fontId="27" fillId="0" borderId="3" xfId="0" applyFont="1" applyBorder="1" applyAlignment="1"/>
    <xf numFmtId="0" fontId="25" fillId="0" borderId="7" xfId="0" applyFont="1" applyBorder="1" applyAlignment="1">
      <alignment horizontal="left" vertical="top"/>
    </xf>
    <xf numFmtId="0" fontId="25" fillId="0" borderId="0" xfId="0" applyFont="1" applyBorder="1" applyAlignment="1">
      <alignment horizontal="left" vertical="top"/>
    </xf>
    <xf numFmtId="0" fontId="25" fillId="0" borderId="0" xfId="0" applyFont="1" applyAlignment="1"/>
    <xf numFmtId="0" fontId="25" fillId="0" borderId="15" xfId="0" applyFont="1" applyBorder="1" applyAlignment="1">
      <alignment horizontal="left" vertical="top"/>
    </xf>
    <xf numFmtId="0" fontId="25" fillId="0" borderId="13" xfId="0" applyFont="1" applyBorder="1" applyAlignment="1">
      <alignment horizontal="left" vertical="top"/>
    </xf>
    <xf numFmtId="0" fontId="25" fillId="0" borderId="8" xfId="0" applyFont="1" applyBorder="1" applyAlignment="1">
      <alignment horizontal="left" vertical="top"/>
    </xf>
    <xf numFmtId="0" fontId="25" fillId="0" borderId="14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25" fillId="0" borderId="11" xfId="0" applyFont="1" applyBorder="1" applyAlignment="1"/>
    <xf numFmtId="0" fontId="0" fillId="0" borderId="4" xfId="0" applyBorder="1"/>
    <xf numFmtId="0" fontId="1" fillId="0" borderId="10" xfId="0" applyFont="1" applyFill="1" applyBorder="1" applyAlignment="1"/>
    <xf numFmtId="0" fontId="1" fillId="0" borderId="10" xfId="0" applyFont="1" applyBorder="1" applyAlignment="1">
      <alignment vertical="center"/>
    </xf>
    <xf numFmtId="0" fontId="28" fillId="4" borderId="4" xfId="0" applyFont="1" applyFill="1" applyBorder="1"/>
    <xf numFmtId="0" fontId="1" fillId="0" borderId="10" xfId="0" applyFont="1" applyFill="1" applyBorder="1" applyAlignment="1">
      <alignment vertical="center"/>
    </xf>
    <xf numFmtId="0" fontId="1" fillId="0" borderId="4" xfId="0" applyFont="1" applyFill="1" applyBorder="1" applyAlignment="1"/>
    <xf numFmtId="14" fontId="23" fillId="0" borderId="4" xfId="0" applyNumberFormat="1" applyFont="1" applyBorder="1" applyAlignment="1"/>
    <xf numFmtId="0" fontId="1" fillId="0" borderId="9" xfId="0" applyFont="1" applyBorder="1" applyAlignment="1">
      <alignment vertical="center"/>
    </xf>
    <xf numFmtId="0" fontId="6" fillId="0" borderId="0" xfId="0" applyFont="1" applyFill="1" applyBorder="1" applyAlignment="1"/>
    <xf numFmtId="0" fontId="25" fillId="0" borderId="11" xfId="0" applyFont="1" applyBorder="1" applyAlignment="1">
      <alignment vertical="top"/>
    </xf>
    <xf numFmtId="0" fontId="7" fillId="0" borderId="1" xfId="0" applyFont="1" applyBorder="1" applyAlignment="1"/>
    <xf numFmtId="0" fontId="0" fillId="0" borderId="4" xfId="0" applyBorder="1" applyAlignment="1"/>
    <xf numFmtId="0" fontId="21" fillId="5" borderId="0" xfId="0" applyFont="1" applyFill="1" applyBorder="1" applyAlignment="1"/>
    <xf numFmtId="0" fontId="19" fillId="0" borderId="1" xfId="0" applyFont="1" applyBorder="1" applyAlignment="1"/>
    <xf numFmtId="0" fontId="30" fillId="0" borderId="8" xfId="0" applyFont="1" applyBorder="1" applyAlignment="1"/>
    <xf numFmtId="0" fontId="31" fillId="0" borderId="11" xfId="0" applyFont="1" applyBorder="1" applyAlignment="1"/>
    <xf numFmtId="0" fontId="32" fillId="0" borderId="1" xfId="0" applyFont="1" applyBorder="1" applyAlignment="1"/>
    <xf numFmtId="0" fontId="33" fillId="0" borderId="11" xfId="0" applyFont="1" applyBorder="1" applyAlignment="1"/>
    <xf numFmtId="0" fontId="21" fillId="0" borderId="0" xfId="1">
      <alignment vertical="center"/>
    </xf>
    <xf numFmtId="0" fontId="34" fillId="0" borderId="0" xfId="1" applyFont="1">
      <alignment vertical="center"/>
    </xf>
    <xf numFmtId="0" fontId="35" fillId="6" borderId="1" xfId="1" applyFont="1" applyFill="1" applyBorder="1" applyAlignment="1">
      <alignment horizontal="center" vertical="center"/>
    </xf>
    <xf numFmtId="0" fontId="0" fillId="0" borderId="1" xfId="1" quotePrefix="1" applyFont="1" applyBorder="1">
      <alignment vertical="center"/>
    </xf>
    <xf numFmtId="0" fontId="0" fillId="0" borderId="1" xfId="1" applyFont="1" applyBorder="1">
      <alignment vertical="center"/>
    </xf>
    <xf numFmtId="14" fontId="21" fillId="0" borderId="1" xfId="1" applyNumberFormat="1" applyBorder="1">
      <alignment vertical="center"/>
    </xf>
    <xf numFmtId="0" fontId="21" fillId="0" borderId="1" xfId="1" applyBorder="1">
      <alignment vertical="center"/>
    </xf>
    <xf numFmtId="0" fontId="36" fillId="0" borderId="5" xfId="0" applyFont="1" applyBorder="1"/>
    <xf numFmtId="0" fontId="37" fillId="0" borderId="5" xfId="0" applyFont="1" applyBorder="1" applyAlignment="1"/>
    <xf numFmtId="0" fontId="38" fillId="0" borderId="6" xfId="0" applyFont="1" applyBorder="1"/>
    <xf numFmtId="0" fontId="37" fillId="0" borderId="6" xfId="0" applyFont="1" applyBorder="1" applyAlignment="1"/>
    <xf numFmtId="0" fontId="39" fillId="0" borderId="6" xfId="0" applyFont="1" applyBorder="1" applyAlignment="1">
      <alignment horizontal="left" wrapText="1"/>
    </xf>
    <xf numFmtId="0" fontId="40" fillId="0" borderId="0" xfId="0" applyFont="1" applyAlignment="1"/>
    <xf numFmtId="0" fontId="37" fillId="0" borderId="0" xfId="0" applyFont="1" applyAlignment="1"/>
    <xf numFmtId="0" fontId="41" fillId="0" borderId="0" xfId="0" applyFont="1" applyAlignment="1"/>
    <xf numFmtId="0" fontId="42" fillId="0" borderId="0" xfId="0" applyFont="1" applyAlignment="1"/>
    <xf numFmtId="0" fontId="37" fillId="0" borderId="0" xfId="0" applyFont="1" applyAlignment="1">
      <alignment vertical="center"/>
    </xf>
    <xf numFmtId="0" fontId="43" fillId="0" borderId="0" xfId="0" applyFont="1" applyAlignment="1"/>
    <xf numFmtId="0" fontId="44" fillId="0" borderId="0" xfId="0" applyFont="1"/>
    <xf numFmtId="0" fontId="45" fillId="3" borderId="1" xfId="0" applyFont="1" applyFill="1" applyBorder="1" applyAlignment="1">
      <alignment horizontal="center" vertical="center"/>
    </xf>
    <xf numFmtId="0" fontId="45" fillId="3" borderId="4" xfId="0" applyFont="1" applyFill="1" applyBorder="1" applyAlignment="1">
      <alignment horizontal="center" vertical="center"/>
    </xf>
    <xf numFmtId="0" fontId="36" fillId="0" borderId="2" xfId="0" applyFont="1" applyBorder="1" applyAlignment="1"/>
    <xf numFmtId="0" fontId="36" fillId="0" borderId="2" xfId="0" applyFont="1" applyFill="1" applyBorder="1" applyAlignment="1">
      <alignment vertical="center"/>
    </xf>
    <xf numFmtId="0" fontId="36" fillId="0" borderId="3" xfId="0" applyFont="1" applyBorder="1" applyAlignment="1"/>
    <xf numFmtId="0" fontId="46" fillId="0" borderId="2" xfId="0" applyFont="1" applyBorder="1" applyAlignment="1"/>
    <xf numFmtId="0" fontId="36" fillId="0" borderId="1" xfId="0" applyFont="1" applyBorder="1" applyAlignment="1">
      <alignment vertical="center"/>
    </xf>
    <xf numFmtId="0" fontId="36" fillId="0" borderId="11" xfId="0" applyFont="1" applyBorder="1" applyAlignment="1">
      <alignment vertical="center"/>
    </xf>
    <xf numFmtId="0" fontId="36" fillId="0" borderId="3" xfId="0" applyFont="1" applyFill="1" applyBorder="1" applyAlignment="1">
      <alignment vertical="center"/>
    </xf>
    <xf numFmtId="0" fontId="36" fillId="0" borderId="3" xfId="0" applyFont="1" applyFill="1" applyBorder="1" applyAlignment="1">
      <alignment vertical="center" wrapText="1"/>
    </xf>
    <xf numFmtId="0" fontId="36" fillId="0" borderId="11" xfId="0" applyFont="1" applyFill="1" applyBorder="1" applyAlignment="1">
      <alignment vertical="center"/>
    </xf>
    <xf numFmtId="0" fontId="36" fillId="0" borderId="3" xfId="0" applyFont="1" applyFill="1" applyBorder="1" applyAlignment="1"/>
    <xf numFmtId="0" fontId="36" fillId="0" borderId="2" xfId="0" applyFont="1" applyBorder="1" applyAlignment="1">
      <alignment vertical="center"/>
    </xf>
    <xf numFmtId="0" fontId="37" fillId="0" borderId="0" xfId="0" applyFont="1" applyBorder="1" applyAlignment="1"/>
    <xf numFmtId="0" fontId="36" fillId="0" borderId="0" xfId="0" applyFont="1" applyBorder="1" applyAlignment="1"/>
    <xf numFmtId="0" fontId="36" fillId="0" borderId="0" xfId="0" applyFont="1" applyFill="1" applyBorder="1" applyAlignment="1">
      <alignment vertical="center"/>
    </xf>
    <xf numFmtId="0" fontId="46" fillId="0" borderId="0" xfId="0" applyFont="1" applyBorder="1" applyAlignment="1"/>
    <xf numFmtId="0" fontId="36" fillId="0" borderId="0" xfId="0" applyFont="1" applyBorder="1" applyAlignment="1">
      <alignment vertical="center"/>
    </xf>
    <xf numFmtId="0" fontId="40" fillId="0" borderId="0" xfId="0" applyFont="1" applyBorder="1" applyAlignment="1"/>
    <xf numFmtId="0" fontId="46" fillId="0" borderId="0" xfId="0" applyFont="1" applyBorder="1" applyAlignment="1">
      <alignment vertical="center"/>
    </xf>
    <xf numFmtId="0" fontId="47" fillId="0" borderId="0" xfId="0" applyFont="1" applyBorder="1" applyAlignment="1"/>
    <xf numFmtId="0" fontId="37" fillId="5" borderId="0" xfId="0" applyFont="1" applyFill="1" applyBorder="1" applyAlignment="1"/>
    <xf numFmtId="0" fontId="36" fillId="5" borderId="0" xfId="0" applyFont="1" applyFill="1" applyBorder="1" applyAlignment="1">
      <alignment vertical="center"/>
    </xf>
    <xf numFmtId="0" fontId="36" fillId="5" borderId="0" xfId="0" applyFont="1" applyFill="1" applyBorder="1" applyAlignment="1"/>
    <xf numFmtId="0" fontId="45" fillId="4" borderId="1" xfId="0" applyFont="1" applyFill="1" applyBorder="1" applyAlignment="1">
      <alignment wrapText="1"/>
    </xf>
    <xf numFmtId="0" fontId="36" fillId="0" borderId="0" xfId="0" applyFont="1" applyFill="1" applyBorder="1" applyAlignment="1"/>
    <xf numFmtId="0" fontId="36" fillId="0" borderId="1" xfId="0" applyFont="1" applyFill="1" applyBorder="1" applyAlignment="1">
      <alignment wrapText="1"/>
    </xf>
    <xf numFmtId="0" fontId="36" fillId="0" borderId="8" xfId="0" applyFont="1" applyFill="1" applyBorder="1" applyAlignment="1">
      <alignment wrapText="1"/>
    </xf>
    <xf numFmtId="0" fontId="36" fillId="0" borderId="1" xfId="0" applyFont="1" applyFill="1" applyBorder="1" applyAlignment="1"/>
    <xf numFmtId="0" fontId="36" fillId="0" borderId="8" xfId="0" applyFont="1" applyFill="1" applyBorder="1" applyAlignment="1"/>
    <xf numFmtId="0" fontId="36" fillId="0" borderId="7" xfId="0" applyFont="1" applyBorder="1" applyAlignment="1"/>
    <xf numFmtId="0" fontId="36" fillId="4" borderId="1" xfId="0" applyFont="1" applyFill="1" applyBorder="1" applyAlignment="1"/>
    <xf numFmtId="0" fontId="45" fillId="0" borderId="0" xfId="0" applyFont="1" applyFill="1" applyBorder="1" applyAlignment="1">
      <alignment wrapText="1"/>
    </xf>
    <xf numFmtId="0" fontId="37" fillId="0" borderId="0" xfId="0" applyFont="1" applyFill="1" applyBorder="1" applyAlignment="1"/>
    <xf numFmtId="0" fontId="36" fillId="0" borderId="1" xfId="0" applyFont="1" applyBorder="1" applyAlignment="1"/>
    <xf numFmtId="0" fontId="45" fillId="4" borderId="10" xfId="0" applyFont="1" applyFill="1" applyBorder="1" applyAlignment="1">
      <alignment wrapText="1"/>
    </xf>
    <xf numFmtId="0" fontId="36" fillId="4" borderId="12" xfId="0" applyFont="1" applyFill="1" applyBorder="1" applyAlignment="1"/>
    <xf numFmtId="0" fontId="36" fillId="4" borderId="4" xfId="0" applyFont="1" applyFill="1" applyBorder="1" applyAlignment="1"/>
    <xf numFmtId="0" fontId="36" fillId="0" borderId="8" xfId="0" applyFont="1" applyBorder="1" applyAlignment="1"/>
    <xf numFmtId="0" fontId="36" fillId="0" borderId="14" xfId="0" applyFont="1" applyBorder="1" applyAlignment="1"/>
    <xf numFmtId="0" fontId="48" fillId="0" borderId="14" xfId="0" applyFont="1" applyBorder="1" applyAlignment="1"/>
    <xf numFmtId="0" fontId="48" fillId="0" borderId="11" xfId="0" applyFont="1" applyBorder="1" applyAlignment="1"/>
    <xf numFmtId="0" fontId="36" fillId="0" borderId="9" xfId="0" applyFont="1" applyBorder="1" applyAlignment="1"/>
    <xf numFmtId="0" fontId="36" fillId="0" borderId="1" xfId="2" applyFont="1" applyBorder="1"/>
    <xf numFmtId="194" fontId="36" fillId="0" borderId="1" xfId="2" applyNumberFormat="1" applyFont="1" applyBorder="1"/>
    <xf numFmtId="0" fontId="36" fillId="0" borderId="1" xfId="2" applyFont="1" applyFill="1" applyBorder="1"/>
    <xf numFmtId="0" fontId="36" fillId="0" borderId="11" xfId="0" quotePrefix="1" applyFont="1" applyBorder="1" applyAlignment="1">
      <alignment vertical="center"/>
    </xf>
    <xf numFmtId="0" fontId="49" fillId="0" borderId="8" xfId="0" applyFont="1" applyBorder="1" applyAlignment="1"/>
    <xf numFmtId="0" fontId="21" fillId="0" borderId="12" xfId="1" applyBorder="1" applyAlignment="1">
      <alignment vertical="center"/>
    </xf>
    <xf numFmtId="0" fontId="21" fillId="0" borderId="4" xfId="1" applyBorder="1" applyAlignment="1">
      <alignment vertical="center"/>
    </xf>
    <xf numFmtId="0" fontId="21" fillId="0" borderId="10" xfId="1" applyBorder="1" applyAlignment="1">
      <alignment vertical="center"/>
    </xf>
    <xf numFmtId="0" fontId="21" fillId="7" borderId="7" xfId="1" applyFill="1" applyBorder="1" applyAlignment="1">
      <alignment vertical="center"/>
    </xf>
    <xf numFmtId="0" fontId="21" fillId="7" borderId="13" xfId="1" applyFill="1" applyBorder="1" applyAlignment="1">
      <alignment vertical="center"/>
    </xf>
    <xf numFmtId="0" fontId="21" fillId="7" borderId="8" xfId="1" applyFont="1" applyFill="1" applyBorder="1" applyAlignment="1">
      <alignment vertical="center"/>
    </xf>
    <xf numFmtId="0" fontId="21" fillId="7" borderId="0" xfId="1" applyFill="1" applyBorder="1" applyAlignment="1">
      <alignment vertical="center"/>
    </xf>
    <xf numFmtId="0" fontId="21" fillId="7" borderId="14" xfId="1" applyFill="1" applyBorder="1" applyAlignment="1">
      <alignment vertical="center"/>
    </xf>
    <xf numFmtId="0" fontId="21" fillId="7" borderId="9" xfId="1" applyFill="1" applyBorder="1" applyAlignment="1">
      <alignment vertical="center"/>
    </xf>
    <xf numFmtId="0" fontId="21" fillId="7" borderId="3" xfId="1" applyFill="1" applyBorder="1" applyAlignment="1">
      <alignment vertical="center"/>
    </xf>
    <xf numFmtId="0" fontId="21" fillId="7" borderId="15" xfId="1" applyFont="1" applyFill="1" applyBorder="1" applyAlignment="1">
      <alignment vertical="center"/>
    </xf>
    <xf numFmtId="0" fontId="21" fillId="7" borderId="11" xfId="1" applyFont="1" applyFill="1" applyBorder="1" applyAlignment="1">
      <alignment vertical="center"/>
    </xf>
    <xf numFmtId="0" fontId="0" fillId="0" borderId="16" xfId="1" quotePrefix="1" applyFont="1" applyBorder="1" applyAlignment="1">
      <alignment vertical="center"/>
    </xf>
    <xf numFmtId="0" fontId="0" fillId="0" borderId="17" xfId="1" quotePrefix="1" applyFont="1" applyBorder="1" applyAlignment="1">
      <alignment vertical="center"/>
    </xf>
    <xf numFmtId="0" fontId="0" fillId="0" borderId="2" xfId="1" quotePrefix="1" applyFont="1" applyBorder="1" applyAlignment="1">
      <alignment vertical="center"/>
    </xf>
    <xf numFmtId="0" fontId="35" fillId="6" borderId="1" xfId="1" applyFont="1" applyFill="1" applyBorder="1" applyAlignment="1">
      <alignment horizontal="center" vertical="center"/>
    </xf>
    <xf numFmtId="0" fontId="35" fillId="6" borderId="1" xfId="1" applyFont="1" applyFill="1" applyBorder="1" applyAlignment="1">
      <alignment vertical="center"/>
    </xf>
    <xf numFmtId="0" fontId="21" fillId="0" borderId="1" xfId="1" applyBorder="1" applyAlignment="1">
      <alignment vertical="center"/>
    </xf>
    <xf numFmtId="0" fontId="0" fillId="0" borderId="1" xfId="1" applyFont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wrapText="1"/>
    </xf>
    <xf numFmtId="0" fontId="29" fillId="0" borderId="15" xfId="0" applyFont="1" applyBorder="1" applyAlignment="1">
      <alignment vertical="top" wrapText="1"/>
    </xf>
    <xf numFmtId="0" fontId="29" fillId="0" borderId="7" xfId="0" applyFont="1" applyBorder="1" applyAlignment="1">
      <alignment vertical="top" wrapText="1"/>
    </xf>
    <xf numFmtId="0" fontId="29" fillId="0" borderId="13" xfId="0" applyFont="1" applyBorder="1" applyAlignment="1">
      <alignment vertical="top" wrapText="1"/>
    </xf>
    <xf numFmtId="0" fontId="29" fillId="0" borderId="8" xfId="0" applyFont="1" applyBorder="1" applyAlignment="1">
      <alignment vertical="top" wrapText="1"/>
    </xf>
    <xf numFmtId="0" fontId="29" fillId="0" borderId="0" xfId="0" applyFont="1" applyBorder="1" applyAlignment="1">
      <alignment vertical="top" wrapText="1"/>
    </xf>
    <xf numFmtId="0" fontId="29" fillId="0" borderId="14" xfId="0" applyFont="1" applyBorder="1" applyAlignment="1">
      <alignment vertical="top" wrapText="1"/>
    </xf>
    <xf numFmtId="0" fontId="29" fillId="0" borderId="11" xfId="0" applyFont="1" applyBorder="1" applyAlignment="1">
      <alignment vertical="top" wrapText="1"/>
    </xf>
    <xf numFmtId="0" fontId="29" fillId="0" borderId="9" xfId="0" applyFont="1" applyBorder="1" applyAlignment="1">
      <alignment vertical="top" wrapText="1"/>
    </xf>
    <xf numFmtId="0" fontId="29" fillId="0" borderId="3" xfId="0" applyFont="1" applyBorder="1" applyAlignment="1">
      <alignment vertical="top" wrapText="1"/>
    </xf>
    <xf numFmtId="0" fontId="4" fillId="3" borderId="10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3" fillId="0" borderId="6" xfId="0" applyFont="1" applyBorder="1" applyAlignment="1">
      <alignment horizontal="left" vertical="top" wrapText="1"/>
    </xf>
    <xf numFmtId="0" fontId="39" fillId="0" borderId="6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wrapText="1"/>
    </xf>
    <xf numFmtId="0" fontId="45" fillId="3" borderId="10" xfId="0" applyFont="1" applyFill="1" applyBorder="1" applyAlignment="1">
      <alignment horizontal="center" vertical="center"/>
    </xf>
    <xf numFmtId="0" fontId="45" fillId="3" borderId="4" xfId="0" applyFont="1" applyFill="1" applyBorder="1" applyAlignment="1">
      <alignment horizontal="center" vertical="center"/>
    </xf>
  </cellXfs>
  <cellStyles count="3">
    <cellStyle name="標準" xfId="0" builtinId="0"/>
    <cellStyle name="標準 4" xfId="1" xr:uid="{2E1F5BBC-219C-4051-B9F2-41AAA0B2F7C4}"/>
    <cellStyle name="標準_DN-030104-019.01 CSVレイアウト設計書(時間帯別予約状況確認表)" xfId="2" xr:uid="{2389BC97-FEE1-4596-B0BA-6F92C84F9C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4</xdr:row>
      <xdr:rowOff>66675</xdr:rowOff>
    </xdr:from>
    <xdr:to>
      <xdr:col>3</xdr:col>
      <xdr:colOff>269863</xdr:colOff>
      <xdr:row>8</xdr:row>
      <xdr:rowOff>117475</xdr:rowOff>
    </xdr:to>
    <xdr:sp macro="" textlink="">
      <xdr:nvSpPr>
        <xdr:cNvPr id="10251" name="AutoShape 11">
          <a:extLst>
            <a:ext uri="{FF2B5EF4-FFF2-40B4-BE49-F238E27FC236}">
              <a16:creationId xmlns:a16="http://schemas.microsoft.com/office/drawing/2014/main" id="{9B2DD77B-48A9-C6BD-09F9-C5908ACB33B4}"/>
            </a:ext>
          </a:extLst>
        </xdr:cNvPr>
        <xdr:cNvSpPr>
          <a:spLocks noChangeArrowheads="1"/>
        </xdr:cNvSpPr>
      </xdr:nvSpPr>
      <xdr:spPr bwMode="auto">
        <a:xfrm>
          <a:off x="2085975" y="1104900"/>
          <a:ext cx="3838575" cy="723900"/>
        </a:xfrm>
        <a:prstGeom prst="wedgeRectCallout">
          <a:avLst>
            <a:gd name="adj1" fmla="val -61912"/>
            <a:gd name="adj2" fmla="val -6579"/>
          </a:avLst>
        </a:prstGeom>
        <a:solidFill>
          <a:srgbClr val="FF99CC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２．ここからファイル作成対象となるシート名を列挙して下さい。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この行から空白行までのシートに対して処理を行います。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求愛しているアベックの鳥を押すと、このブックに存在する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シート名を自動的に羅列します。</a:t>
          </a:r>
        </a:p>
      </xdr:txBody>
    </xdr:sp>
    <xdr:clientData/>
  </xdr:twoCellAnchor>
  <xdr:twoCellAnchor>
    <xdr:from>
      <xdr:col>3</xdr:col>
      <xdr:colOff>581025</xdr:colOff>
      <xdr:row>4</xdr:row>
      <xdr:rowOff>95250</xdr:rowOff>
    </xdr:from>
    <xdr:to>
      <xdr:col>9</xdr:col>
      <xdr:colOff>142875</xdr:colOff>
      <xdr:row>8</xdr:row>
      <xdr:rowOff>60357</xdr:rowOff>
    </xdr:to>
    <xdr:sp macro="" textlink="">
      <xdr:nvSpPr>
        <xdr:cNvPr id="10254" name="AutoShape 14">
          <a:extLst>
            <a:ext uri="{FF2B5EF4-FFF2-40B4-BE49-F238E27FC236}">
              <a16:creationId xmlns:a16="http://schemas.microsoft.com/office/drawing/2014/main" id="{C9D37A7C-A0A3-B19C-9DE8-80F6675FA1C4}"/>
            </a:ext>
          </a:extLst>
        </xdr:cNvPr>
        <xdr:cNvSpPr>
          <a:spLocks noChangeArrowheads="1"/>
        </xdr:cNvSpPr>
      </xdr:nvSpPr>
      <xdr:spPr bwMode="auto">
        <a:xfrm>
          <a:off x="6267450" y="1133475"/>
          <a:ext cx="3819525" cy="638175"/>
        </a:xfrm>
        <a:prstGeom prst="wedgeRectCallout">
          <a:avLst>
            <a:gd name="adj1" fmla="val -57231"/>
            <a:gd name="adj2" fmla="val 114181"/>
          </a:avLst>
        </a:prstGeom>
        <a:solidFill>
          <a:srgbClr val="FF99CC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３．このひよこを押すと、２．で列挙した</a:t>
          </a:r>
          <a:r>
            <a:rPr lang="ja-JP" altLang="en-US" sz="1100" b="1" i="0" u="none" strike="noStrike" baseline="0">
              <a:solidFill>
                <a:srgbClr val="33CCCC"/>
              </a:solidFill>
              <a:latin typeface="ＭＳ Ｐゴシック"/>
              <a:ea typeface="ＭＳ Ｐゴシック"/>
            </a:rPr>
            <a:t>作成対象シート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に対して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処理を行い、１．で指定した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エンティティ出力先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の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Path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に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シート名の（）内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.java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を作成します。</a:t>
          </a:r>
        </a:p>
      </xdr:txBody>
    </xdr:sp>
    <xdr:clientData/>
  </xdr:twoCellAnchor>
  <xdr:oneCellAnchor>
    <xdr:from>
      <xdr:col>0</xdr:col>
      <xdr:colOff>38620</xdr:colOff>
      <xdr:row>0</xdr:row>
      <xdr:rowOff>74355</xdr:rowOff>
    </xdr:from>
    <xdr:ext cx="1199110" cy="184666"/>
    <xdr:sp macro="" textlink="">
      <xdr:nvSpPr>
        <xdr:cNvPr id="10268" name="Text Box 28">
          <a:extLst>
            <a:ext uri="{FF2B5EF4-FFF2-40B4-BE49-F238E27FC236}">
              <a16:creationId xmlns:a16="http://schemas.microsoft.com/office/drawing/2014/main" id="{CD1173B9-258E-8396-91FC-293355DFAF17}"/>
            </a:ext>
          </a:extLst>
        </xdr:cNvPr>
        <xdr:cNvSpPr txBox="1">
          <a:spLocks noChangeArrowheads="1"/>
        </xdr:cNvSpPr>
      </xdr:nvSpPr>
      <xdr:spPr bwMode="auto">
        <a:xfrm>
          <a:off x="38620" y="74355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6</xdr:col>
      <xdr:colOff>203200</xdr:colOff>
      <xdr:row>0</xdr:row>
      <xdr:rowOff>69850</xdr:rowOff>
    </xdr:from>
    <xdr:to>
      <xdr:col>8</xdr:col>
      <xdr:colOff>285750</xdr:colOff>
      <xdr:row>0</xdr:row>
      <xdr:rowOff>342900</xdr:rowOff>
    </xdr:to>
    <xdr:pic>
      <xdr:nvPicPr>
        <xdr:cNvPr id="10458" name="Picture 29" descr="http://www.isid.co.jp/images/logo/0001.gif">
          <a:extLst>
            <a:ext uri="{FF2B5EF4-FFF2-40B4-BE49-F238E27FC236}">
              <a16:creationId xmlns:a16="http://schemas.microsoft.com/office/drawing/2014/main" id="{0660C311-1B6A-6501-F902-5C3B93D17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7378700" y="69850"/>
          <a:ext cx="1301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6350</xdr:colOff>
      <xdr:row>11</xdr:row>
      <xdr:rowOff>0</xdr:rowOff>
    </xdr:from>
    <xdr:to>
      <xdr:col>1</xdr:col>
      <xdr:colOff>1822450</xdr:colOff>
      <xdr:row>21</xdr:row>
      <xdr:rowOff>38100</xdr:rowOff>
    </xdr:to>
    <xdr:pic macro="[0]!ThisWorkbook.SheetNamesLineUp">
      <xdr:nvPicPr>
        <xdr:cNvPr id="10459" name="Picture 34" descr="birds">
          <a:extLst>
            <a:ext uri="{FF2B5EF4-FFF2-40B4-BE49-F238E27FC236}">
              <a16:creationId xmlns:a16="http://schemas.microsoft.com/office/drawing/2014/main" id="{CC71D2C2-3BB4-F789-3F6A-CE9626F0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2165350"/>
          <a:ext cx="1816100" cy="16891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92075</xdr:colOff>
      <xdr:row>2</xdr:row>
      <xdr:rowOff>79375</xdr:rowOff>
    </xdr:from>
    <xdr:to>
      <xdr:col>6</xdr:col>
      <xdr:colOff>539678</xdr:colOff>
      <xdr:row>3</xdr:row>
      <xdr:rowOff>117475</xdr:rowOff>
    </xdr:to>
    <xdr:sp macro="" textlink="">
      <xdr:nvSpPr>
        <xdr:cNvPr id="10277" name="AutoShape 37">
          <a:extLst>
            <a:ext uri="{FF2B5EF4-FFF2-40B4-BE49-F238E27FC236}">
              <a16:creationId xmlns:a16="http://schemas.microsoft.com/office/drawing/2014/main" id="{5C01993D-7FB5-F07D-8906-7711319ED91A}"/>
            </a:ext>
          </a:extLst>
        </xdr:cNvPr>
        <xdr:cNvSpPr>
          <a:spLocks noChangeArrowheads="1"/>
        </xdr:cNvSpPr>
      </xdr:nvSpPr>
      <xdr:spPr bwMode="auto">
        <a:xfrm>
          <a:off x="5734050" y="781050"/>
          <a:ext cx="2743200" cy="209550"/>
        </a:xfrm>
        <a:prstGeom prst="wedgeRectCallout">
          <a:avLst>
            <a:gd name="adj1" fmla="val -80903"/>
            <a:gd name="adj2" fmla="val -45454"/>
          </a:avLst>
        </a:prstGeom>
        <a:solidFill>
          <a:srgbClr val="FF99CC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１．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Java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ファイルの出力先を記述して下さい。</a:t>
          </a:r>
        </a:p>
      </xdr:txBody>
    </xdr:sp>
    <xdr:clientData/>
  </xdr:twoCellAnchor>
  <xdr:twoCellAnchor editAs="oneCell">
    <xdr:from>
      <xdr:col>2</xdr:col>
      <xdr:colOff>209550</xdr:colOff>
      <xdr:row>11</xdr:row>
      <xdr:rowOff>0</xdr:rowOff>
    </xdr:from>
    <xdr:to>
      <xdr:col>4</xdr:col>
      <xdr:colOff>330200</xdr:colOff>
      <xdr:row>21</xdr:row>
      <xdr:rowOff>57150</xdr:rowOff>
    </xdr:to>
    <xdr:pic macro="[0]!ThisWorkbook.AllSheetsMakeJAVA">
      <xdr:nvPicPr>
        <xdr:cNvPr id="10461" name="Picture 39" descr="bird2">
          <a:extLst>
            <a:ext uri="{FF2B5EF4-FFF2-40B4-BE49-F238E27FC236}">
              <a16:creationId xmlns:a16="http://schemas.microsoft.com/office/drawing/2014/main" id="{D1A227FD-4106-DB95-1C20-170C78F37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600" y="2165350"/>
          <a:ext cx="1612900" cy="170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441325</xdr:colOff>
      <xdr:row>2</xdr:row>
      <xdr:rowOff>123825</xdr:rowOff>
    </xdr:from>
    <xdr:to>
      <xdr:col>7</xdr:col>
      <xdr:colOff>520695</xdr:colOff>
      <xdr:row>4</xdr:row>
      <xdr:rowOff>57150</xdr:rowOff>
    </xdr:to>
    <xdr:sp macro="" textlink="">
      <xdr:nvSpPr>
        <xdr:cNvPr id="20487" name="AutoShape 7">
          <a:extLst>
            <a:ext uri="{FF2B5EF4-FFF2-40B4-BE49-F238E27FC236}">
              <a16:creationId xmlns:a16="http://schemas.microsoft.com/office/drawing/2014/main" id="{90334716-C836-6AE8-A2EB-39F00C96F651}"/>
            </a:ext>
          </a:extLst>
        </xdr:cNvPr>
        <xdr:cNvSpPr>
          <a:spLocks noChangeArrowheads="1"/>
        </xdr:cNvSpPr>
      </xdr:nvSpPr>
      <xdr:spPr bwMode="auto">
        <a:xfrm>
          <a:off x="4914900" y="809625"/>
          <a:ext cx="4705350" cy="428625"/>
        </a:xfrm>
        <a:prstGeom prst="horizontalScrol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この注釈がある部分は記述必須項目です</a:t>
          </a:r>
        </a:p>
      </xdr:txBody>
    </xdr:sp>
    <xdr:clientData/>
  </xdr:twoCellAnchor>
  <xdr:oneCellAnchor>
    <xdr:from>
      <xdr:col>0</xdr:col>
      <xdr:colOff>32270</xdr:colOff>
      <xdr:row>0</xdr:row>
      <xdr:rowOff>74355</xdr:rowOff>
    </xdr:from>
    <xdr:ext cx="1199110" cy="184666"/>
    <xdr:sp macro="" textlink="">
      <xdr:nvSpPr>
        <xdr:cNvPr id="20481" name="Text Box 1">
          <a:extLst>
            <a:ext uri="{FF2B5EF4-FFF2-40B4-BE49-F238E27FC236}">
              <a16:creationId xmlns:a16="http://schemas.microsoft.com/office/drawing/2014/main" id="{D3B884E9-889F-0139-5FBD-1A99B7424B12}"/>
            </a:ext>
          </a:extLst>
        </xdr:cNvPr>
        <xdr:cNvSpPr txBox="1">
          <a:spLocks noChangeArrowheads="1"/>
        </xdr:cNvSpPr>
      </xdr:nvSpPr>
      <xdr:spPr bwMode="auto">
        <a:xfrm>
          <a:off x="32270" y="74355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5</xdr:col>
      <xdr:colOff>285750</xdr:colOff>
      <xdr:row>0</xdr:row>
      <xdr:rowOff>0</xdr:rowOff>
    </xdr:from>
    <xdr:to>
      <xdr:col>5</xdr:col>
      <xdr:colOff>1885950</xdr:colOff>
      <xdr:row>0</xdr:row>
      <xdr:rowOff>355600</xdr:rowOff>
    </xdr:to>
    <xdr:pic>
      <xdr:nvPicPr>
        <xdr:cNvPr id="20666" name="Picture 2" descr="http://www.isid.co.jp/images/logo/0001.gif">
          <a:extLst>
            <a:ext uri="{FF2B5EF4-FFF2-40B4-BE49-F238E27FC236}">
              <a16:creationId xmlns:a16="http://schemas.microsoft.com/office/drawing/2014/main" id="{CAA1B3CD-5B71-FAF1-F483-0EF79C90C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6496050" y="0"/>
          <a:ext cx="16002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5</xdr:row>
      <xdr:rowOff>57150</xdr:rowOff>
    </xdr:from>
    <xdr:to>
      <xdr:col>1</xdr:col>
      <xdr:colOff>1149350</xdr:colOff>
      <xdr:row>6</xdr:row>
      <xdr:rowOff>107950</xdr:rowOff>
    </xdr:to>
    <xdr:sp macro="" textlink="">
      <xdr:nvSpPr>
        <xdr:cNvPr id="20483" name="AutoShape 3">
          <a:extLst>
            <a:ext uri="{FF2B5EF4-FFF2-40B4-BE49-F238E27FC236}">
              <a16:creationId xmlns:a16="http://schemas.microsoft.com/office/drawing/2014/main" id="{54185B69-D5B6-D203-7C89-7D74D83A9B52}"/>
            </a:ext>
          </a:extLst>
        </xdr:cNvPr>
        <xdr:cNvSpPr>
          <a:spLocks noChangeArrowheads="1"/>
        </xdr:cNvSpPr>
      </xdr:nvSpPr>
      <xdr:spPr bwMode="auto">
        <a:xfrm>
          <a:off x="1876425" y="1419225"/>
          <a:ext cx="1123950" cy="228600"/>
        </a:xfrm>
        <a:prstGeom prst="wedgeRectCallout">
          <a:avLst>
            <a:gd name="adj1" fmla="val -134745"/>
            <a:gd name="adj2" fmla="val -104167"/>
          </a:avLst>
        </a:prstGeom>
        <a:solidFill>
          <a:srgbClr val="FF99CC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テーブル名を記述</a:t>
          </a:r>
        </a:p>
      </xdr:txBody>
    </xdr:sp>
    <xdr:clientData/>
  </xdr:twoCellAnchor>
  <xdr:twoCellAnchor>
    <xdr:from>
      <xdr:col>4</xdr:col>
      <xdr:colOff>422275</xdr:colOff>
      <xdr:row>7</xdr:row>
      <xdr:rowOff>79375</xdr:rowOff>
    </xdr:from>
    <xdr:to>
      <xdr:col>6</xdr:col>
      <xdr:colOff>161925</xdr:colOff>
      <xdr:row>8</xdr:row>
      <xdr:rowOff>136525</xdr:rowOff>
    </xdr:to>
    <xdr:sp macro="" textlink="">
      <xdr:nvSpPr>
        <xdr:cNvPr id="20485" name="AutoShape 5">
          <a:extLst>
            <a:ext uri="{FF2B5EF4-FFF2-40B4-BE49-F238E27FC236}">
              <a16:creationId xmlns:a16="http://schemas.microsoft.com/office/drawing/2014/main" id="{5A9E664A-82D9-C61B-DD58-7994A2380694}"/>
            </a:ext>
          </a:extLst>
        </xdr:cNvPr>
        <xdr:cNvSpPr>
          <a:spLocks noChangeArrowheads="1"/>
        </xdr:cNvSpPr>
      </xdr:nvSpPr>
      <xdr:spPr bwMode="auto">
        <a:xfrm>
          <a:off x="5791200" y="1790700"/>
          <a:ext cx="3257550" cy="228600"/>
        </a:xfrm>
        <a:prstGeom prst="wedgeRectCallout">
          <a:avLst>
            <a:gd name="adj1" fmla="val -108931"/>
            <a:gd name="adj2" fmla="val 33333"/>
          </a:avLst>
        </a:prstGeom>
        <a:solidFill>
          <a:srgbClr val="FF99CC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エンティティパス名を記述</a:t>
          </a:r>
        </a:p>
      </xdr:txBody>
    </xdr:sp>
    <xdr:clientData/>
  </xdr:twoCellAnchor>
  <xdr:twoCellAnchor>
    <xdr:from>
      <xdr:col>4</xdr:col>
      <xdr:colOff>0</xdr:colOff>
      <xdr:row>2</xdr:row>
      <xdr:rowOff>228600</xdr:rowOff>
    </xdr:from>
    <xdr:to>
      <xdr:col>5</xdr:col>
      <xdr:colOff>209550</xdr:colOff>
      <xdr:row>3</xdr:row>
      <xdr:rowOff>127000</xdr:rowOff>
    </xdr:to>
    <xdr:sp macro="" textlink="">
      <xdr:nvSpPr>
        <xdr:cNvPr id="20669" name="AutoShape 6">
          <a:extLst>
            <a:ext uri="{FF2B5EF4-FFF2-40B4-BE49-F238E27FC236}">
              <a16:creationId xmlns:a16="http://schemas.microsoft.com/office/drawing/2014/main" id="{5ABEEB7C-C0D5-2A69-44AF-787BCC2055A3}"/>
            </a:ext>
          </a:extLst>
        </xdr:cNvPr>
        <xdr:cNvSpPr>
          <a:spLocks noChangeArrowheads="1"/>
        </xdr:cNvSpPr>
      </xdr:nvSpPr>
      <xdr:spPr bwMode="auto">
        <a:xfrm>
          <a:off x="4883150" y="914400"/>
          <a:ext cx="1536700" cy="222250"/>
        </a:xfrm>
        <a:prstGeom prst="wedgeRectCallout">
          <a:avLst>
            <a:gd name="adj1" fmla="val -75361"/>
            <a:gd name="adj2" fmla="val 0"/>
          </a:avLst>
        </a:prstGeom>
        <a:solidFill>
          <a:srgbClr val="FF99CC">
            <a:alpha val="50195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3175</xdr:colOff>
      <xdr:row>4</xdr:row>
      <xdr:rowOff>171450</xdr:rowOff>
    </xdr:from>
    <xdr:to>
      <xdr:col>4</xdr:col>
      <xdr:colOff>247630</xdr:colOff>
      <xdr:row>7</xdr:row>
      <xdr:rowOff>38100</xdr:rowOff>
    </xdr:to>
    <xdr:sp macro="" textlink="">
      <xdr:nvSpPr>
        <xdr:cNvPr id="20488" name="AutoShape 8">
          <a:extLst>
            <a:ext uri="{FF2B5EF4-FFF2-40B4-BE49-F238E27FC236}">
              <a16:creationId xmlns:a16="http://schemas.microsoft.com/office/drawing/2014/main" id="{C3D30CF0-21E1-2DD5-939F-08EF79E77382}"/>
            </a:ext>
          </a:extLst>
        </xdr:cNvPr>
        <xdr:cNvSpPr>
          <a:spLocks noChangeArrowheads="1"/>
        </xdr:cNvSpPr>
      </xdr:nvSpPr>
      <xdr:spPr bwMode="auto">
        <a:xfrm>
          <a:off x="3381375" y="1352550"/>
          <a:ext cx="2209800" cy="390525"/>
        </a:xfrm>
        <a:prstGeom prst="wedgeRectCallout">
          <a:avLst>
            <a:gd name="adj1" fmla="val -61208"/>
            <a:gd name="adj2" fmla="val -140245"/>
          </a:avLst>
        </a:prstGeom>
        <a:solidFill>
          <a:srgbClr val="FF99CC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  ）の中にエンティティ名を記述</a:t>
          </a:r>
        </a:p>
        <a:p>
          <a:pPr algn="l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シート名も同一名称として下さい。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101342</xdr:rowOff>
    </xdr:from>
    <xdr:ext cx="1199110" cy="184666"/>
    <xdr:sp macro="" textlink="">
      <xdr:nvSpPr>
        <xdr:cNvPr id="54273" name="Text Box 1">
          <a:extLst>
            <a:ext uri="{FF2B5EF4-FFF2-40B4-BE49-F238E27FC236}">
              <a16:creationId xmlns:a16="http://schemas.microsoft.com/office/drawing/2014/main" id="{8B1D8521-3328-F13A-6AE2-0891640ECBD7}"/>
            </a:ext>
          </a:extLst>
        </xdr:cNvPr>
        <xdr:cNvSpPr txBox="1">
          <a:spLocks noChangeArrowheads="1"/>
        </xdr:cNvSpPr>
      </xdr:nvSpPr>
      <xdr:spPr bwMode="auto">
        <a:xfrm>
          <a:off x="0" y="101342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6</xdr:col>
      <xdr:colOff>2387600</xdr:colOff>
      <xdr:row>0</xdr:row>
      <xdr:rowOff>57150</xdr:rowOff>
    </xdr:from>
    <xdr:to>
      <xdr:col>6</xdr:col>
      <xdr:colOff>4114800</xdr:colOff>
      <xdr:row>0</xdr:row>
      <xdr:rowOff>336550</xdr:rowOff>
    </xdr:to>
    <xdr:pic>
      <xdr:nvPicPr>
        <xdr:cNvPr id="54326" name="Picture 2" descr="http://www.isid.co.jp/images/logo/0001.gif">
          <a:extLst>
            <a:ext uri="{FF2B5EF4-FFF2-40B4-BE49-F238E27FC236}">
              <a16:creationId xmlns:a16="http://schemas.microsoft.com/office/drawing/2014/main" id="{8875BBD5-C126-BEE1-8DC0-F01046B29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9753600" y="57150"/>
          <a:ext cx="17272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101342</xdr:rowOff>
    </xdr:from>
    <xdr:ext cx="1199110" cy="184666"/>
    <xdr:sp macro="" textlink="">
      <xdr:nvSpPr>
        <xdr:cNvPr id="61441" name="Text Box 1">
          <a:extLst>
            <a:ext uri="{FF2B5EF4-FFF2-40B4-BE49-F238E27FC236}">
              <a16:creationId xmlns:a16="http://schemas.microsoft.com/office/drawing/2014/main" id="{232B4203-FEDE-9FBA-208A-B4F4DF8EB540}"/>
            </a:ext>
          </a:extLst>
        </xdr:cNvPr>
        <xdr:cNvSpPr txBox="1">
          <a:spLocks noChangeArrowheads="1"/>
        </xdr:cNvSpPr>
      </xdr:nvSpPr>
      <xdr:spPr bwMode="auto">
        <a:xfrm>
          <a:off x="0" y="101342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6</xdr:col>
      <xdr:colOff>1962150</xdr:colOff>
      <xdr:row>0</xdr:row>
      <xdr:rowOff>50800</xdr:rowOff>
    </xdr:from>
    <xdr:to>
      <xdr:col>7</xdr:col>
      <xdr:colOff>1079500</xdr:colOff>
      <xdr:row>0</xdr:row>
      <xdr:rowOff>323850</xdr:rowOff>
    </xdr:to>
    <xdr:pic>
      <xdr:nvPicPr>
        <xdr:cNvPr id="61494" name="Picture 2" descr="http://www.isid.co.jp/images/logo/0001.gif">
          <a:extLst>
            <a:ext uri="{FF2B5EF4-FFF2-40B4-BE49-F238E27FC236}">
              <a16:creationId xmlns:a16="http://schemas.microsoft.com/office/drawing/2014/main" id="{05BBA168-2BDB-B49C-2ECD-7F33C78C3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9074150" y="50800"/>
          <a:ext cx="142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101342</xdr:rowOff>
    </xdr:from>
    <xdr:ext cx="1199110" cy="184666"/>
    <xdr:sp macro="" textlink="">
      <xdr:nvSpPr>
        <xdr:cNvPr id="59393" name="Text Box 1">
          <a:extLst>
            <a:ext uri="{FF2B5EF4-FFF2-40B4-BE49-F238E27FC236}">
              <a16:creationId xmlns:a16="http://schemas.microsoft.com/office/drawing/2014/main" id="{C90EC7FF-3A34-C1A1-1C5A-7AA59CE33690}"/>
            </a:ext>
          </a:extLst>
        </xdr:cNvPr>
        <xdr:cNvSpPr txBox="1">
          <a:spLocks noChangeArrowheads="1"/>
        </xdr:cNvSpPr>
      </xdr:nvSpPr>
      <xdr:spPr bwMode="auto">
        <a:xfrm>
          <a:off x="0" y="101342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6</xdr:col>
      <xdr:colOff>2311400</xdr:colOff>
      <xdr:row>0</xdr:row>
      <xdr:rowOff>57150</xdr:rowOff>
    </xdr:from>
    <xdr:to>
      <xdr:col>6</xdr:col>
      <xdr:colOff>3632200</xdr:colOff>
      <xdr:row>0</xdr:row>
      <xdr:rowOff>336550</xdr:rowOff>
    </xdr:to>
    <xdr:pic>
      <xdr:nvPicPr>
        <xdr:cNvPr id="59446" name="Picture 2" descr="http://www.isid.co.jp/images/logo/0001.gif">
          <a:extLst>
            <a:ext uri="{FF2B5EF4-FFF2-40B4-BE49-F238E27FC236}">
              <a16:creationId xmlns:a16="http://schemas.microsoft.com/office/drawing/2014/main" id="{28C7C542-B495-95C9-B1F4-B6A346DC1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9423400" y="57150"/>
          <a:ext cx="13208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101342</xdr:rowOff>
    </xdr:from>
    <xdr:ext cx="1199110" cy="184666"/>
    <xdr:sp macro="" textlink="">
      <xdr:nvSpPr>
        <xdr:cNvPr id="62465" name="Text Box 1">
          <a:extLst>
            <a:ext uri="{FF2B5EF4-FFF2-40B4-BE49-F238E27FC236}">
              <a16:creationId xmlns:a16="http://schemas.microsoft.com/office/drawing/2014/main" id="{D71B076F-F331-B6DB-2EFB-96B23A78A35A}"/>
            </a:ext>
          </a:extLst>
        </xdr:cNvPr>
        <xdr:cNvSpPr txBox="1">
          <a:spLocks noChangeArrowheads="1"/>
        </xdr:cNvSpPr>
      </xdr:nvSpPr>
      <xdr:spPr bwMode="auto">
        <a:xfrm>
          <a:off x="0" y="101342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6</xdr:col>
      <xdr:colOff>2311400</xdr:colOff>
      <xdr:row>0</xdr:row>
      <xdr:rowOff>57150</xdr:rowOff>
    </xdr:from>
    <xdr:to>
      <xdr:col>6</xdr:col>
      <xdr:colOff>3632200</xdr:colOff>
      <xdr:row>0</xdr:row>
      <xdr:rowOff>336550</xdr:rowOff>
    </xdr:to>
    <xdr:pic>
      <xdr:nvPicPr>
        <xdr:cNvPr id="62518" name="Picture 2" descr="http://www.isid.co.jp/images/logo/0001.gif">
          <a:extLst>
            <a:ext uri="{FF2B5EF4-FFF2-40B4-BE49-F238E27FC236}">
              <a16:creationId xmlns:a16="http://schemas.microsoft.com/office/drawing/2014/main" id="{DA20ABBF-67DF-530A-D937-8AA94A2D1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9423400" y="57150"/>
          <a:ext cx="13208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101342</xdr:rowOff>
    </xdr:from>
    <xdr:ext cx="1199110" cy="184666"/>
    <xdr:sp macro="" textlink="">
      <xdr:nvSpPr>
        <xdr:cNvPr id="60417" name="Text Box 1">
          <a:extLst>
            <a:ext uri="{FF2B5EF4-FFF2-40B4-BE49-F238E27FC236}">
              <a16:creationId xmlns:a16="http://schemas.microsoft.com/office/drawing/2014/main" id="{25EE53FC-C8BA-AFAF-BADD-AB6A6D7E768A}"/>
            </a:ext>
          </a:extLst>
        </xdr:cNvPr>
        <xdr:cNvSpPr txBox="1">
          <a:spLocks noChangeArrowheads="1"/>
        </xdr:cNvSpPr>
      </xdr:nvSpPr>
      <xdr:spPr bwMode="auto">
        <a:xfrm>
          <a:off x="0" y="101342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6</xdr:col>
      <xdr:colOff>1670050</xdr:colOff>
      <xdr:row>0</xdr:row>
      <xdr:rowOff>50800</xdr:rowOff>
    </xdr:from>
    <xdr:to>
      <xdr:col>6</xdr:col>
      <xdr:colOff>2990850</xdr:colOff>
      <xdr:row>0</xdr:row>
      <xdr:rowOff>330200</xdr:rowOff>
    </xdr:to>
    <xdr:pic>
      <xdr:nvPicPr>
        <xdr:cNvPr id="60470" name="Picture 2" descr="http://www.isid.co.jp/images/logo/0001.gif">
          <a:extLst>
            <a:ext uri="{FF2B5EF4-FFF2-40B4-BE49-F238E27FC236}">
              <a16:creationId xmlns:a16="http://schemas.microsoft.com/office/drawing/2014/main" id="{2088ACDE-C2BE-CA22-577D-D34B0D52F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8807450" y="50800"/>
          <a:ext cx="13208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101342</xdr:rowOff>
    </xdr:from>
    <xdr:ext cx="1199110" cy="184666"/>
    <xdr:sp macro="" textlink="">
      <xdr:nvSpPr>
        <xdr:cNvPr id="44033" name="Text Box 1">
          <a:extLst>
            <a:ext uri="{FF2B5EF4-FFF2-40B4-BE49-F238E27FC236}">
              <a16:creationId xmlns:a16="http://schemas.microsoft.com/office/drawing/2014/main" id="{7294B713-035A-CA9C-2D01-73E4B75BA476}"/>
            </a:ext>
          </a:extLst>
        </xdr:cNvPr>
        <xdr:cNvSpPr txBox="1">
          <a:spLocks noChangeArrowheads="1"/>
        </xdr:cNvSpPr>
      </xdr:nvSpPr>
      <xdr:spPr bwMode="auto">
        <a:xfrm>
          <a:off x="0" y="101342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6</xdr:col>
      <xdr:colOff>2921000</xdr:colOff>
      <xdr:row>0</xdr:row>
      <xdr:rowOff>50800</xdr:rowOff>
    </xdr:from>
    <xdr:to>
      <xdr:col>6</xdr:col>
      <xdr:colOff>4235450</xdr:colOff>
      <xdr:row>0</xdr:row>
      <xdr:rowOff>330200</xdr:rowOff>
    </xdr:to>
    <xdr:pic>
      <xdr:nvPicPr>
        <xdr:cNvPr id="44086" name="Picture 2" descr="http://www.isid.co.jp/images/logo/0001.gif">
          <a:extLst>
            <a:ext uri="{FF2B5EF4-FFF2-40B4-BE49-F238E27FC236}">
              <a16:creationId xmlns:a16="http://schemas.microsoft.com/office/drawing/2014/main" id="{CD3EA359-DC94-56EF-1E26-AEFDFA3AA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10033000" y="50800"/>
          <a:ext cx="131445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101342</xdr:rowOff>
    </xdr:from>
    <xdr:ext cx="1199110" cy="184666"/>
    <xdr:sp macro="" textlink="">
      <xdr:nvSpPr>
        <xdr:cNvPr id="55297" name="Text Box 1">
          <a:extLst>
            <a:ext uri="{FF2B5EF4-FFF2-40B4-BE49-F238E27FC236}">
              <a16:creationId xmlns:a16="http://schemas.microsoft.com/office/drawing/2014/main" id="{D8F031A6-0AED-980F-8117-A7B48C2768EA}"/>
            </a:ext>
          </a:extLst>
        </xdr:cNvPr>
        <xdr:cNvSpPr txBox="1">
          <a:spLocks noChangeArrowheads="1"/>
        </xdr:cNvSpPr>
      </xdr:nvSpPr>
      <xdr:spPr bwMode="auto">
        <a:xfrm>
          <a:off x="0" y="101342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6</xdr:col>
      <xdr:colOff>2305050</xdr:colOff>
      <xdr:row>0</xdr:row>
      <xdr:rowOff>57150</xdr:rowOff>
    </xdr:from>
    <xdr:to>
      <xdr:col>6</xdr:col>
      <xdr:colOff>3816350</xdr:colOff>
      <xdr:row>0</xdr:row>
      <xdr:rowOff>336550</xdr:rowOff>
    </xdr:to>
    <xdr:pic>
      <xdr:nvPicPr>
        <xdr:cNvPr id="55350" name="Picture 2" descr="http://www.isid.co.jp/images/logo/0001.gif">
          <a:extLst>
            <a:ext uri="{FF2B5EF4-FFF2-40B4-BE49-F238E27FC236}">
              <a16:creationId xmlns:a16="http://schemas.microsoft.com/office/drawing/2014/main" id="{6361F6D0-C136-53C3-CD7C-96597543A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9385300" y="57150"/>
          <a:ext cx="15113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32270</xdr:colOff>
      <xdr:row>0</xdr:row>
      <xdr:rowOff>96580</xdr:rowOff>
    </xdr:from>
    <xdr:ext cx="1262555" cy="184666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81C67C1-E0B5-00B2-6ED9-A4CDB32DD74E}"/>
            </a:ext>
          </a:extLst>
        </xdr:cNvPr>
        <xdr:cNvSpPr txBox="1">
          <a:spLocks noChangeArrowheads="1"/>
        </xdr:cNvSpPr>
      </xdr:nvSpPr>
      <xdr:spPr bwMode="auto">
        <a:xfrm>
          <a:off x="38620" y="102930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7</xdr:col>
      <xdr:colOff>69850</xdr:colOff>
      <xdr:row>0</xdr:row>
      <xdr:rowOff>57150</xdr:rowOff>
    </xdr:from>
    <xdr:to>
      <xdr:col>7</xdr:col>
      <xdr:colOff>1263650</xdr:colOff>
      <xdr:row>0</xdr:row>
      <xdr:rowOff>336550</xdr:rowOff>
    </xdr:to>
    <xdr:pic>
      <xdr:nvPicPr>
        <xdr:cNvPr id="64532" name="Picture 2" descr="http://www.isid.co.jp/images/logo/0001.gif">
          <a:extLst>
            <a:ext uri="{FF2B5EF4-FFF2-40B4-BE49-F238E27FC236}">
              <a16:creationId xmlns:a16="http://schemas.microsoft.com/office/drawing/2014/main" id="{7DC728AD-910B-0E8E-69B0-40AE19969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8" b="47667"/>
        <a:stretch>
          <a:fillRect/>
        </a:stretch>
      </xdr:blipFill>
      <xdr:spPr bwMode="auto">
        <a:xfrm>
          <a:off x="9486900" y="57150"/>
          <a:ext cx="11938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99CC">
            <a:alpha val="50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99CC">
            <a:alpha val="50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D3FC-B794-4FBE-A402-91FA1CAC751D}">
  <dimension ref="B2:I24"/>
  <sheetViews>
    <sheetView workbookViewId="0">
      <selection activeCell="J34" sqref="J34"/>
    </sheetView>
  </sheetViews>
  <sheetFormatPr defaultColWidth="9" defaultRowHeight="13" x14ac:dyDescent="0.2"/>
  <cols>
    <col min="1" max="1" width="3.453125" style="156" customWidth="1"/>
    <col min="2" max="2" width="12.453125" style="156" customWidth="1"/>
    <col min="3" max="3" width="13.90625" style="156" customWidth="1"/>
    <col min="4" max="9" width="13" style="156" customWidth="1"/>
    <col min="10" max="16384" width="9" style="156"/>
  </cols>
  <sheetData>
    <row r="2" spans="2:9" ht="16.5" x14ac:dyDescent="0.2">
      <c r="B2" s="157" t="s">
        <v>654</v>
      </c>
    </row>
    <row r="4" spans="2:9" x14ac:dyDescent="0.2">
      <c r="B4" s="238" t="s">
        <v>655</v>
      </c>
      <c r="C4" s="238" t="s">
        <v>656</v>
      </c>
      <c r="D4" s="238" t="s">
        <v>657</v>
      </c>
      <c r="E4" s="238"/>
      <c r="F4" s="238" t="s">
        <v>658</v>
      </c>
      <c r="G4" s="238"/>
      <c r="H4" s="238" t="s">
        <v>659</v>
      </c>
      <c r="I4" s="238"/>
    </row>
    <row r="5" spans="2:9" x14ac:dyDescent="0.2">
      <c r="B5" s="239"/>
      <c r="C5" s="239"/>
      <c r="D5" s="158" t="s">
        <v>660</v>
      </c>
      <c r="E5" s="158" t="s">
        <v>661</v>
      </c>
      <c r="F5" s="158" t="s">
        <v>660</v>
      </c>
      <c r="G5" s="158" t="s">
        <v>661</v>
      </c>
      <c r="H5" s="158" t="s">
        <v>660</v>
      </c>
      <c r="I5" s="158" t="s">
        <v>661</v>
      </c>
    </row>
    <row r="6" spans="2:9" x14ac:dyDescent="0.2">
      <c r="B6" s="159" t="s">
        <v>662</v>
      </c>
      <c r="C6" s="160" t="s">
        <v>663</v>
      </c>
      <c r="D6" s="160" t="s">
        <v>664</v>
      </c>
      <c r="E6" s="161">
        <v>41766</v>
      </c>
      <c r="F6" s="160" t="s">
        <v>667</v>
      </c>
      <c r="G6" s="161">
        <v>41768</v>
      </c>
      <c r="H6" s="160"/>
      <c r="I6" s="161"/>
    </row>
    <row r="7" spans="2:9" x14ac:dyDescent="0.2">
      <c r="B7" s="159" t="s">
        <v>699</v>
      </c>
      <c r="C7" s="160"/>
      <c r="D7" s="160" t="s">
        <v>700</v>
      </c>
      <c r="E7" s="161">
        <v>42864</v>
      </c>
      <c r="F7" s="160" t="s">
        <v>701</v>
      </c>
      <c r="G7" s="161">
        <v>42864</v>
      </c>
      <c r="H7" s="160" t="s">
        <v>702</v>
      </c>
      <c r="I7" s="161">
        <v>42864</v>
      </c>
    </row>
    <row r="8" spans="2:9" x14ac:dyDescent="0.2">
      <c r="B8" s="159"/>
      <c r="C8" s="160"/>
      <c r="D8" s="160"/>
      <c r="E8" s="161"/>
      <c r="F8" s="160"/>
      <c r="G8" s="161"/>
      <c r="H8" s="162"/>
      <c r="I8" s="162"/>
    </row>
    <row r="9" spans="2:9" x14ac:dyDescent="0.2">
      <c r="B9" s="162"/>
      <c r="C9" s="162"/>
      <c r="D9" s="162"/>
      <c r="E9" s="162"/>
      <c r="F9" s="162"/>
      <c r="G9" s="162"/>
      <c r="H9" s="162"/>
      <c r="I9" s="162"/>
    </row>
    <row r="10" spans="2:9" x14ac:dyDescent="0.2">
      <c r="B10" s="162"/>
      <c r="C10" s="162"/>
      <c r="D10" s="162"/>
      <c r="E10" s="162"/>
      <c r="F10" s="162"/>
      <c r="G10" s="162"/>
      <c r="H10" s="162"/>
      <c r="I10" s="162"/>
    </row>
    <row r="11" spans="2:9" x14ac:dyDescent="0.2">
      <c r="B11" s="162"/>
      <c r="C11" s="162"/>
      <c r="D11" s="162"/>
      <c r="E11" s="162"/>
      <c r="F11" s="162"/>
      <c r="G11" s="162"/>
      <c r="H11" s="162"/>
      <c r="I11" s="162"/>
    </row>
    <row r="15" spans="2:9" ht="16.5" x14ac:dyDescent="0.2">
      <c r="B15" s="157" t="s">
        <v>665</v>
      </c>
    </row>
    <row r="17" spans="2:9" x14ac:dyDescent="0.2">
      <c r="B17" s="158" t="s">
        <v>655</v>
      </c>
      <c r="C17" s="238" t="s">
        <v>666</v>
      </c>
      <c r="D17" s="240"/>
      <c r="E17" s="240"/>
      <c r="F17" s="240"/>
      <c r="G17" s="240"/>
      <c r="H17" s="240"/>
      <c r="I17" s="240"/>
    </row>
    <row r="18" spans="2:9" ht="71.25" customHeight="1" x14ac:dyDescent="0.2">
      <c r="B18" s="159" t="s">
        <v>662</v>
      </c>
      <c r="C18" s="241" t="s">
        <v>698</v>
      </c>
      <c r="D18" s="240"/>
      <c r="E18" s="240"/>
      <c r="F18" s="240"/>
      <c r="G18" s="240"/>
      <c r="H18" s="240"/>
      <c r="I18" s="240"/>
    </row>
    <row r="19" spans="2:9" x14ac:dyDescent="0.2">
      <c r="B19" s="235" t="s">
        <v>699</v>
      </c>
      <c r="C19" s="233" t="s">
        <v>764</v>
      </c>
      <c r="D19" s="226"/>
      <c r="E19" s="226"/>
      <c r="F19" s="226"/>
      <c r="G19" s="226"/>
      <c r="H19" s="226"/>
      <c r="I19" s="227"/>
    </row>
    <row r="20" spans="2:9" x14ac:dyDescent="0.2">
      <c r="B20" s="236"/>
      <c r="C20" s="228" t="s">
        <v>765</v>
      </c>
      <c r="D20" s="229"/>
      <c r="E20" s="229"/>
      <c r="F20" s="229"/>
      <c r="G20" s="229"/>
      <c r="H20" s="229"/>
      <c r="I20" s="230"/>
    </row>
    <row r="21" spans="2:9" x14ac:dyDescent="0.2">
      <c r="B21" s="236"/>
      <c r="C21" s="228" t="s">
        <v>766</v>
      </c>
      <c r="D21" s="229"/>
      <c r="E21" s="229"/>
      <c r="F21" s="229"/>
      <c r="G21" s="229"/>
      <c r="H21" s="229"/>
      <c r="I21" s="230"/>
    </row>
    <row r="22" spans="2:9" x14ac:dyDescent="0.2">
      <c r="B22" s="236"/>
      <c r="C22" s="228" t="s">
        <v>767</v>
      </c>
      <c r="D22" s="229"/>
      <c r="E22" s="229"/>
      <c r="F22" s="229"/>
      <c r="G22" s="229"/>
      <c r="H22" s="229"/>
      <c r="I22" s="230"/>
    </row>
    <row r="23" spans="2:9" x14ac:dyDescent="0.2">
      <c r="B23" s="237"/>
      <c r="C23" s="234"/>
      <c r="D23" s="231"/>
      <c r="E23" s="231"/>
      <c r="F23" s="231"/>
      <c r="G23" s="231"/>
      <c r="H23" s="231"/>
      <c r="I23" s="232"/>
    </row>
    <row r="24" spans="2:9" x14ac:dyDescent="0.2">
      <c r="B24" s="162"/>
      <c r="C24" s="225"/>
      <c r="D24" s="223"/>
      <c r="E24" s="223"/>
      <c r="F24" s="223"/>
      <c r="G24" s="223"/>
      <c r="H24" s="223"/>
      <c r="I24" s="224"/>
    </row>
  </sheetData>
  <mergeCells count="8">
    <mergeCell ref="B19:B23"/>
    <mergeCell ref="B4:B5"/>
    <mergeCell ref="C4:C5"/>
    <mergeCell ref="D4:E4"/>
    <mergeCell ref="F4:G4"/>
    <mergeCell ref="H4:I4"/>
    <mergeCell ref="C17:I17"/>
    <mergeCell ref="C18:I18"/>
  </mergeCells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F374-0AE6-4B37-98A3-B907207989DA}">
  <sheetPr codeName="Sheet12">
    <pageSetUpPr fitToPage="1"/>
  </sheetPr>
  <dimension ref="A1:K22"/>
  <sheetViews>
    <sheetView zoomScaleNormal="100" workbookViewId="0">
      <pane ySplit="2" topLeftCell="A3" activePane="bottomLeft" state="frozen"/>
      <selection pane="bottomLeft" activeCell="A3" sqref="A3"/>
    </sheetView>
  </sheetViews>
  <sheetFormatPr defaultRowHeight="13" x14ac:dyDescent="0.2"/>
  <cols>
    <col min="1" max="1" width="20.90625" customWidth="1"/>
    <col min="2" max="2" width="43" customWidth="1"/>
    <col min="3" max="3" width="10" customWidth="1"/>
    <col min="4" max="4" width="11.36328125" customWidth="1"/>
  </cols>
  <sheetData>
    <row r="1" spans="1:11" s="22" customFormat="1" ht="30" customHeight="1" thickBot="1" x14ac:dyDescent="0.25"/>
    <row r="2" spans="1:11" s="27" customFormat="1" ht="24.75" customHeight="1" x14ac:dyDescent="0.25">
      <c r="A2" s="23" t="s">
        <v>122</v>
      </c>
      <c r="C2" s="242" t="s">
        <v>245</v>
      </c>
      <c r="D2" s="242"/>
      <c r="E2" s="28"/>
      <c r="F2" s="243" t="s">
        <v>148</v>
      </c>
      <c r="G2" s="243"/>
      <c r="H2" s="243" t="s">
        <v>246</v>
      </c>
      <c r="I2" s="243"/>
      <c r="J2" s="24"/>
      <c r="K2" s="24"/>
    </row>
    <row r="3" spans="1:11" x14ac:dyDescent="0.2">
      <c r="A3" s="7" t="s">
        <v>81</v>
      </c>
      <c r="B3" s="6" t="s">
        <v>133</v>
      </c>
    </row>
    <row r="5" spans="1:11" ht="12" customHeight="1" x14ac:dyDescent="0.2">
      <c r="A5" s="5"/>
    </row>
    <row r="6" spans="1:11" x14ac:dyDescent="0.2">
      <c r="A6" s="21" t="s">
        <v>82</v>
      </c>
    </row>
    <row r="7" spans="1:11" x14ac:dyDescent="0.2">
      <c r="A7" t="s">
        <v>638</v>
      </c>
    </row>
    <row r="22" spans="3:3" x14ac:dyDescent="0.2">
      <c r="C22" s="8" t="b">
        <v>0</v>
      </c>
    </row>
  </sheetData>
  <mergeCells count="3">
    <mergeCell ref="C2:D2"/>
    <mergeCell ref="F2:G2"/>
    <mergeCell ref="H2:I2"/>
  </mergeCells>
  <phoneticPr fontId="5"/>
  <pageMargins left="0.78700000000000003" right="0.78700000000000003" top="0.98399999999999999" bottom="0.98399999999999999" header="0.51200000000000001" footer="0.51200000000000001"/>
  <pageSetup paperSize="9" scale="9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36DE-D628-4376-821A-063E429FA237}">
  <sheetPr codeName="Sheet18">
    <pageSetUpPr fitToPage="1"/>
  </sheetPr>
  <dimension ref="A1:GA22"/>
  <sheetViews>
    <sheetView zoomScaleNormal="100" zoomScaleSheetLayoutView="100" workbookViewId="0">
      <pane ySplit="2" topLeftCell="A3" activePane="bottomLeft" state="frozen"/>
      <selection pane="bottomLeft" activeCell="A3" sqref="A3"/>
    </sheetView>
  </sheetViews>
  <sheetFormatPr defaultColWidth="9" defaultRowHeight="13" x14ac:dyDescent="0.2"/>
  <cols>
    <col min="1" max="1" width="22.90625" style="2" customWidth="1"/>
    <col min="2" max="2" width="21.36328125" style="2" customWidth="1"/>
    <col min="3" max="3" width="13.90625" style="2" customWidth="1"/>
    <col min="4" max="4" width="11.7265625" style="2" customWidth="1"/>
    <col min="5" max="5" width="19" style="2" customWidth="1"/>
    <col min="6" max="6" width="27.453125" style="2" customWidth="1"/>
    <col min="7" max="7" width="2.36328125" style="2" customWidth="1"/>
    <col min="8" max="8" width="19.453125" style="2" customWidth="1"/>
    <col min="9" max="16384" width="9" style="2"/>
  </cols>
  <sheetData>
    <row r="1" spans="1:10" s="25" customFormat="1" ht="30" customHeight="1" thickBot="1" x14ac:dyDescent="0.25">
      <c r="A1" s="22"/>
    </row>
    <row r="2" spans="1:10" s="26" customFormat="1" ht="24" customHeight="1" x14ac:dyDescent="0.25">
      <c r="A2" s="23" t="s">
        <v>122</v>
      </c>
      <c r="C2" s="242" t="s">
        <v>83</v>
      </c>
      <c r="D2" s="242"/>
      <c r="E2" s="24" t="s">
        <v>125</v>
      </c>
      <c r="F2" s="243" t="s">
        <v>126</v>
      </c>
      <c r="G2" s="243"/>
      <c r="H2" s="24"/>
      <c r="I2" s="24"/>
      <c r="J2" s="29"/>
    </row>
    <row r="3" spans="1:10" ht="25.5" customHeight="1" x14ac:dyDescent="0.35">
      <c r="A3" s="1" t="s">
        <v>68</v>
      </c>
    </row>
    <row r="5" spans="1:10" ht="14.25" customHeight="1" x14ac:dyDescent="0.2">
      <c r="A5" s="9" t="s">
        <v>85</v>
      </c>
      <c r="B5" s="14"/>
    </row>
    <row r="7" spans="1:10" x14ac:dyDescent="0.2">
      <c r="A7" s="2" t="s">
        <v>69</v>
      </c>
    </row>
    <row r="9" spans="1:10" ht="14.25" customHeight="1" x14ac:dyDescent="0.2">
      <c r="A9" s="3" t="s">
        <v>84</v>
      </c>
    </row>
    <row r="10" spans="1:10" x14ac:dyDescent="0.2">
      <c r="A10" s="10"/>
    </row>
    <row r="11" spans="1:10" x14ac:dyDescent="0.2">
      <c r="A11" s="15" t="s">
        <v>86</v>
      </c>
      <c r="B11" s="16" t="s">
        <v>62</v>
      </c>
      <c r="C11" s="16" t="s">
        <v>63</v>
      </c>
      <c r="D11" s="16" t="s">
        <v>64</v>
      </c>
      <c r="E11" s="16" t="s">
        <v>65</v>
      </c>
      <c r="F11" s="16" t="s">
        <v>66</v>
      </c>
    </row>
    <row r="12" spans="1:10" x14ac:dyDescent="0.2">
      <c r="A12" s="11" t="s">
        <v>112</v>
      </c>
      <c r="B12" s="17" t="s">
        <v>87</v>
      </c>
      <c r="C12" s="12" t="s">
        <v>67</v>
      </c>
      <c r="D12" s="12" t="s">
        <v>88</v>
      </c>
      <c r="E12" s="20" t="s">
        <v>89</v>
      </c>
      <c r="F12" s="17" t="s">
        <v>87</v>
      </c>
    </row>
    <row r="13" spans="1:10" x14ac:dyDescent="0.2">
      <c r="A13" s="11" t="s">
        <v>114</v>
      </c>
      <c r="B13" s="17" t="s">
        <v>70</v>
      </c>
      <c r="C13" s="12" t="s">
        <v>67</v>
      </c>
      <c r="D13" s="12" t="s">
        <v>108</v>
      </c>
      <c r="E13" s="20" t="s">
        <v>109</v>
      </c>
      <c r="F13" s="17" t="s">
        <v>77</v>
      </c>
    </row>
    <row r="14" spans="1:10" x14ac:dyDescent="0.2">
      <c r="A14" s="11" t="s">
        <v>115</v>
      </c>
      <c r="B14" s="18" t="s">
        <v>71</v>
      </c>
      <c r="C14" s="12" t="s">
        <v>67</v>
      </c>
      <c r="D14" s="12" t="s">
        <v>76</v>
      </c>
      <c r="E14" s="20" t="s">
        <v>80</v>
      </c>
      <c r="F14" s="18" t="s">
        <v>78</v>
      </c>
    </row>
    <row r="15" spans="1:10" x14ac:dyDescent="0.2">
      <c r="A15" s="11" t="s">
        <v>116</v>
      </c>
      <c r="B15" s="18" t="s">
        <v>72</v>
      </c>
      <c r="C15" s="12" t="s">
        <v>67</v>
      </c>
      <c r="D15" s="12" t="s">
        <v>90</v>
      </c>
      <c r="E15" s="20" t="s">
        <v>91</v>
      </c>
      <c r="F15" s="18" t="s">
        <v>79</v>
      </c>
    </row>
    <row r="16" spans="1:10" x14ac:dyDescent="0.2">
      <c r="A16" s="11" t="s">
        <v>117</v>
      </c>
      <c r="B16" s="18" t="s">
        <v>73</v>
      </c>
      <c r="C16" s="12" t="s">
        <v>67</v>
      </c>
      <c r="D16" s="12" t="s">
        <v>110</v>
      </c>
      <c r="E16" s="20" t="s">
        <v>111</v>
      </c>
      <c r="F16" s="18" t="s">
        <v>73</v>
      </c>
    </row>
    <row r="17" spans="1:183" x14ac:dyDescent="0.2">
      <c r="A17" s="11" t="s">
        <v>118</v>
      </c>
      <c r="B17" s="18" t="s">
        <v>74</v>
      </c>
      <c r="C17" s="12" t="s">
        <v>67</v>
      </c>
      <c r="D17" s="12" t="s">
        <v>92</v>
      </c>
      <c r="E17" s="20" t="s">
        <v>93</v>
      </c>
      <c r="F17" s="18" t="s">
        <v>74</v>
      </c>
    </row>
    <row r="18" spans="1:183" x14ac:dyDescent="0.2">
      <c r="A18" s="11" t="s">
        <v>119</v>
      </c>
      <c r="B18" s="19" t="s">
        <v>94</v>
      </c>
      <c r="C18" s="12" t="s">
        <v>67</v>
      </c>
      <c r="D18" s="12" t="s">
        <v>95</v>
      </c>
      <c r="E18" s="20" t="s">
        <v>96</v>
      </c>
      <c r="F18" s="18" t="s">
        <v>97</v>
      </c>
    </row>
    <row r="19" spans="1:183" x14ac:dyDescent="0.2">
      <c r="A19" s="11" t="s">
        <v>120</v>
      </c>
      <c r="B19" s="19" t="s">
        <v>98</v>
      </c>
      <c r="C19" s="12" t="s">
        <v>67</v>
      </c>
      <c r="D19" s="12" t="s">
        <v>95</v>
      </c>
      <c r="E19" s="20" t="s">
        <v>99</v>
      </c>
      <c r="F19" s="18" t="s">
        <v>100</v>
      </c>
    </row>
    <row r="20" spans="1:183" x14ac:dyDescent="0.2">
      <c r="A20" s="11" t="s">
        <v>113</v>
      </c>
      <c r="B20" s="19" t="s">
        <v>101</v>
      </c>
      <c r="C20" s="12" t="s">
        <v>67</v>
      </c>
      <c r="D20" s="12" t="s">
        <v>102</v>
      </c>
      <c r="E20" s="20" t="s">
        <v>103</v>
      </c>
      <c r="F20" s="18" t="s">
        <v>104</v>
      </c>
    </row>
    <row r="21" spans="1:183" x14ac:dyDescent="0.2">
      <c r="A21" s="11" t="s">
        <v>121</v>
      </c>
      <c r="B21" s="12" t="s">
        <v>75</v>
      </c>
      <c r="C21" s="12" t="s">
        <v>67</v>
      </c>
      <c r="D21" s="12" t="s">
        <v>105</v>
      </c>
      <c r="E21" s="20" t="s">
        <v>106</v>
      </c>
      <c r="F21" s="13" t="s">
        <v>107</v>
      </c>
    </row>
    <row r="22" spans="1:183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</row>
  </sheetData>
  <mergeCells count="2">
    <mergeCell ref="F2:G2"/>
    <mergeCell ref="C2:D2"/>
  </mergeCells>
  <phoneticPr fontId="5"/>
  <pageMargins left="0.78700000000000003" right="0.78700000000000003" top="0.98399999999999999" bottom="0.98399999999999999" header="0.51200000000000001" footer="0.51200000000000001"/>
  <pageSetup paperSize="9" scale="89" orientation="landscape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2DDD-51FF-4519-B336-1298EFEBB611}">
  <sheetPr codeName="Sheet26"/>
  <dimension ref="A1:J90"/>
  <sheetViews>
    <sheetView view="pageBreakPreview" zoomScale="85" zoomScaleNormal="85" zoomScaleSheetLayoutView="100" workbookViewId="0">
      <pane ySplit="2" topLeftCell="A3" activePane="bottomLeft" state="frozen"/>
      <selection activeCell="B17" sqref="B17"/>
      <selection pane="bottomLeft" activeCell="A3" sqref="A3"/>
    </sheetView>
  </sheetViews>
  <sheetFormatPr defaultColWidth="9" defaultRowHeight="13" x14ac:dyDescent="0.2"/>
  <cols>
    <col min="1" max="1" width="22.90625" style="2" customWidth="1"/>
    <col min="2" max="2" width="32.36328125" style="2" bestFit="1" customWidth="1"/>
    <col min="3" max="3" width="8" style="2" customWidth="1"/>
    <col min="4" max="4" width="11.7265625" style="2" customWidth="1"/>
    <col min="5" max="5" width="18" style="2" customWidth="1"/>
    <col min="6" max="6" width="12.453125" style="2" bestFit="1" customWidth="1"/>
    <col min="7" max="7" width="59.90625" style="2" customWidth="1"/>
    <col min="8" max="8" width="17.7265625" style="2" customWidth="1"/>
    <col min="9" max="16384" width="9" style="2"/>
  </cols>
  <sheetData>
    <row r="1" spans="1:10" s="25" customFormat="1" ht="30" customHeight="1" thickBot="1" x14ac:dyDescent="0.25">
      <c r="A1" s="22"/>
    </row>
    <row r="2" spans="1:10" s="26" customFormat="1" ht="24" customHeight="1" x14ac:dyDescent="0.25">
      <c r="A2" s="23" t="s">
        <v>122</v>
      </c>
      <c r="C2" s="242" t="str">
        <f>'設定＆実行'!C2:D2</f>
        <v>管理番号：DN-030103-019.01
分類　　　：開発標準化</v>
      </c>
      <c r="D2" s="242"/>
      <c r="E2" s="242" t="str">
        <f>'設定＆実行'!F2</f>
        <v>更新者：
更新日：</v>
      </c>
      <c r="F2" s="242"/>
      <c r="G2" s="243" t="str">
        <f>'設定＆実行'!H2</f>
        <v>作成者：ASPAC 衣川
作成日：2006/12/19</v>
      </c>
      <c r="H2" s="243"/>
      <c r="I2" s="24"/>
      <c r="J2" s="24"/>
    </row>
    <row r="3" spans="1:10" ht="25.5" customHeight="1" x14ac:dyDescent="0.35">
      <c r="A3" s="1" t="s">
        <v>508</v>
      </c>
    </row>
    <row r="5" spans="1:10" ht="14.25" customHeight="1" x14ac:dyDescent="0.2">
      <c r="A5" s="9" t="s">
        <v>151</v>
      </c>
      <c r="B5" s="14"/>
    </row>
    <row r="7" spans="1:10" x14ac:dyDescent="0.2">
      <c r="A7" s="2" t="s">
        <v>309</v>
      </c>
    </row>
    <row r="9" spans="1:10" ht="14.25" customHeight="1" x14ac:dyDescent="0.2">
      <c r="A9" s="3" t="s">
        <v>310</v>
      </c>
    </row>
    <row r="10" spans="1:10" x14ac:dyDescent="0.2">
      <c r="A10" s="10"/>
    </row>
    <row r="11" spans="1:10" x14ac:dyDescent="0.2">
      <c r="A11" s="15" t="s">
        <v>152</v>
      </c>
      <c r="B11" s="16" t="s">
        <v>62</v>
      </c>
      <c r="C11" s="16" t="s">
        <v>63</v>
      </c>
      <c r="D11" s="16" t="s">
        <v>64</v>
      </c>
      <c r="E11" s="16" t="s">
        <v>65</v>
      </c>
      <c r="F11" s="16" t="s">
        <v>124</v>
      </c>
      <c r="G11" s="16" t="s">
        <v>66</v>
      </c>
    </row>
    <row r="12" spans="1:10" x14ac:dyDescent="0.2">
      <c r="A12" s="11" t="str">
        <f t="shared" ref="A12:A23" si="0">IF(ISERROR(FIND("_",E12)),LOWER(E12),CONCATENATE(LOWER(LEFT(E12,(FIND("_",E12))-1)),SUBSTITUTE(PROPER(LOWER(RIGHT(E12,LEN(E12)-FIND("_",E12)))),"_","")))</f>
        <v>entryCd</v>
      </c>
      <c r="B12" s="18" t="s">
        <v>161</v>
      </c>
      <c r="C12" s="79" t="s">
        <v>185</v>
      </c>
      <c r="D12" s="12" t="s">
        <v>132</v>
      </c>
      <c r="E12" s="20" t="s">
        <v>160</v>
      </c>
      <c r="F12" s="46" t="s">
        <v>153</v>
      </c>
      <c r="G12" s="18"/>
    </row>
    <row r="13" spans="1:10" x14ac:dyDescent="0.2">
      <c r="A13" s="11" t="str">
        <f t="shared" si="0"/>
        <v>entryYear</v>
      </c>
      <c r="B13" s="18" t="s">
        <v>182</v>
      </c>
      <c r="C13" s="79" t="s">
        <v>185</v>
      </c>
      <c r="D13" s="12" t="s">
        <v>154</v>
      </c>
      <c r="E13" s="20" t="s">
        <v>179</v>
      </c>
      <c r="F13" s="46" t="s">
        <v>153</v>
      </c>
      <c r="G13" s="18"/>
    </row>
    <row r="14" spans="1:10" x14ac:dyDescent="0.2">
      <c r="A14" s="11" t="str">
        <f t="shared" si="0"/>
        <v>entryKai</v>
      </c>
      <c r="B14" s="18" t="s">
        <v>183</v>
      </c>
      <c r="C14" s="79" t="s">
        <v>185</v>
      </c>
      <c r="D14" s="12" t="s">
        <v>180</v>
      </c>
      <c r="E14" s="20" t="s">
        <v>181</v>
      </c>
      <c r="F14" s="46" t="s">
        <v>153</v>
      </c>
      <c r="G14" s="18"/>
    </row>
    <row r="15" spans="1:10" x14ac:dyDescent="0.2">
      <c r="A15" s="11" t="str">
        <f>IF(ISERROR(FIND("_",E15)),LOWER(E15),CONCATENATE(LOWER(LEFT(E15,(FIND("_",E15))-1)),SUBSTITUTE(PROPER(LOWER(RIGHT(E15,LEN(E15)-FIND("_",E15)))),"_","")))</f>
        <v>kaisaiFromDt</v>
      </c>
      <c r="B15" s="18" t="s">
        <v>641</v>
      </c>
      <c r="C15" s="79" t="s">
        <v>185</v>
      </c>
      <c r="D15" s="12" t="s">
        <v>173</v>
      </c>
      <c r="E15" s="20" t="s">
        <v>639</v>
      </c>
      <c r="F15" s="69" t="s">
        <v>135</v>
      </c>
      <c r="G15" s="18"/>
    </row>
    <row r="16" spans="1:10" x14ac:dyDescent="0.2">
      <c r="A16" s="11" t="str">
        <f t="shared" si="0"/>
        <v>kaisaiToDt</v>
      </c>
      <c r="B16" s="18" t="s">
        <v>642</v>
      </c>
      <c r="C16" s="79" t="s">
        <v>185</v>
      </c>
      <c r="D16" s="12" t="s">
        <v>173</v>
      </c>
      <c r="E16" s="20" t="s">
        <v>640</v>
      </c>
      <c r="F16" s="69" t="s">
        <v>135</v>
      </c>
      <c r="G16" s="18"/>
    </row>
    <row r="17" spans="1:7" x14ac:dyDescent="0.2">
      <c r="A17" s="11" t="str">
        <f t="shared" si="0"/>
        <v>entryTitle</v>
      </c>
      <c r="B17" s="18" t="s">
        <v>186</v>
      </c>
      <c r="C17" s="79" t="s">
        <v>185</v>
      </c>
      <c r="D17" s="12" t="s">
        <v>155</v>
      </c>
      <c r="E17" s="20" t="s">
        <v>156</v>
      </c>
      <c r="F17" s="69" t="s">
        <v>135</v>
      </c>
      <c r="G17" s="18" t="s">
        <v>157</v>
      </c>
    </row>
    <row r="18" spans="1:7" x14ac:dyDescent="0.2">
      <c r="A18" s="11" t="str">
        <f t="shared" si="0"/>
        <v>honbuFromDt</v>
      </c>
      <c r="B18" s="18" t="s">
        <v>187</v>
      </c>
      <c r="C18" s="79" t="s">
        <v>185</v>
      </c>
      <c r="D18" s="12" t="s">
        <v>136</v>
      </c>
      <c r="E18" s="20" t="s">
        <v>188</v>
      </c>
      <c r="F18" s="46" t="s">
        <v>150</v>
      </c>
      <c r="G18" s="18"/>
    </row>
    <row r="19" spans="1:7" x14ac:dyDescent="0.2">
      <c r="A19" s="11" t="str">
        <f t="shared" si="0"/>
        <v>honbuToDt</v>
      </c>
      <c r="B19" s="18" t="s">
        <v>190</v>
      </c>
      <c r="C19" s="79" t="s">
        <v>185</v>
      </c>
      <c r="D19" s="12" t="s">
        <v>136</v>
      </c>
      <c r="E19" s="20" t="s">
        <v>189</v>
      </c>
      <c r="F19" s="46" t="s">
        <v>149</v>
      </c>
      <c r="G19" s="18"/>
    </row>
    <row r="20" spans="1:7" x14ac:dyDescent="0.2">
      <c r="A20" s="11" t="str">
        <f>IF(ISERROR(FIND("_",E20)),LOWER(E20),CONCATENATE(LOWER(LEFT(E20,(FIND("_",E20))-1)),SUBSTITUTE(PROPER(LOWER(RIGHT(E20,LEN(E20)-FIND("_",E20)))),"_","")))</f>
        <v>onerFromDt</v>
      </c>
      <c r="B20" s="18" t="s">
        <v>193</v>
      </c>
      <c r="C20" s="79" t="s">
        <v>185</v>
      </c>
      <c r="D20" s="12" t="s">
        <v>136</v>
      </c>
      <c r="E20" s="20" t="s">
        <v>191</v>
      </c>
      <c r="F20" s="46" t="s">
        <v>150</v>
      </c>
      <c r="G20" s="18"/>
    </row>
    <row r="21" spans="1:7" x14ac:dyDescent="0.2">
      <c r="A21" s="11" t="str">
        <f>IF(ISERROR(FIND("_",E21)),LOWER(E21),CONCATENATE(LOWER(LEFT(E21,(FIND("_",E21))-1)),SUBSTITUTE(PROPER(LOWER(RIGHT(E21,LEN(E21)-FIND("_",E21)))),"_","")))</f>
        <v>onerToDt</v>
      </c>
      <c r="B21" s="18" t="s">
        <v>194</v>
      </c>
      <c r="C21" s="79" t="s">
        <v>185</v>
      </c>
      <c r="D21" s="12" t="s">
        <v>136</v>
      </c>
      <c r="E21" s="20" t="s">
        <v>192</v>
      </c>
      <c r="F21" s="46" t="s">
        <v>149</v>
      </c>
      <c r="G21" s="18"/>
    </row>
    <row r="22" spans="1:7" x14ac:dyDescent="0.2">
      <c r="A22" s="11" t="str">
        <f t="shared" si="0"/>
        <v>onerAttendCnt</v>
      </c>
      <c r="B22" s="18" t="s">
        <v>243</v>
      </c>
      <c r="C22" s="79" t="s">
        <v>185</v>
      </c>
      <c r="D22" s="12" t="s">
        <v>60</v>
      </c>
      <c r="E22" s="20" t="s">
        <v>241</v>
      </c>
      <c r="F22" s="84" t="s">
        <v>164</v>
      </c>
      <c r="G22" s="18"/>
    </row>
    <row r="23" spans="1:7" x14ac:dyDescent="0.2">
      <c r="A23" s="11" t="str">
        <f t="shared" si="0"/>
        <v>onerAbsentCnt</v>
      </c>
      <c r="B23" s="18" t="s">
        <v>244</v>
      </c>
      <c r="C23" s="79" t="s">
        <v>185</v>
      </c>
      <c r="D23" s="12" t="s">
        <v>60</v>
      </c>
      <c r="E23" s="20" t="s">
        <v>242</v>
      </c>
      <c r="F23" s="84" t="s">
        <v>164</v>
      </c>
      <c r="G23" s="18"/>
    </row>
    <row r="24" spans="1:7" x14ac:dyDescent="0.2">
      <c r="A24" s="32"/>
      <c r="B24" s="31"/>
      <c r="C24" s="106"/>
      <c r="D24" s="32"/>
      <c r="E24" s="33"/>
      <c r="F24" s="107"/>
      <c r="G24" s="31"/>
    </row>
    <row r="25" spans="1:7" ht="25.5" x14ac:dyDescent="0.35">
      <c r="A25" s="30" t="s">
        <v>123</v>
      </c>
      <c r="B25" s="31"/>
      <c r="C25" s="32"/>
      <c r="D25" s="32"/>
      <c r="E25" s="32"/>
      <c r="F25" s="70"/>
      <c r="G25" s="32"/>
    </row>
    <row r="26" spans="1:7" ht="19" x14ac:dyDescent="0.3">
      <c r="A26" s="35" t="s">
        <v>509</v>
      </c>
      <c r="B26" s="36"/>
      <c r="C26" s="37"/>
      <c r="D26" s="37"/>
      <c r="E26" s="37"/>
      <c r="F26" s="31"/>
      <c r="G26" s="37"/>
    </row>
    <row r="27" spans="1:7" ht="14" x14ac:dyDescent="0.2">
      <c r="A27" s="3" t="s">
        <v>510</v>
      </c>
      <c r="B27" s="36"/>
      <c r="C27" s="37"/>
      <c r="D27" s="37"/>
      <c r="E27" s="71"/>
      <c r="F27" s="31"/>
      <c r="G27" s="37"/>
    </row>
    <row r="28" spans="1:7" x14ac:dyDescent="0.2">
      <c r="A28" s="32"/>
      <c r="B28" s="31"/>
      <c r="C28" s="32"/>
      <c r="D28" s="32"/>
      <c r="E28" s="32"/>
      <c r="F28" s="31"/>
      <c r="G28" s="32"/>
    </row>
    <row r="29" spans="1:7" x14ac:dyDescent="0.2">
      <c r="A29" s="42" t="s">
        <v>247</v>
      </c>
      <c r="B29" s="39"/>
      <c r="C29" s="40"/>
      <c r="D29" s="40"/>
      <c r="E29" s="40"/>
      <c r="F29" s="40"/>
      <c r="G29" s="41"/>
    </row>
    <row r="30" spans="1:7" ht="12.75" customHeight="1" x14ac:dyDescent="0.2"/>
    <row r="31" spans="1:7" x14ac:dyDescent="0.2">
      <c r="A31" s="60" t="s">
        <v>127</v>
      </c>
      <c r="B31" s="141"/>
      <c r="C31" s="48"/>
      <c r="E31" s="72" t="s">
        <v>56</v>
      </c>
      <c r="F31" s="73"/>
      <c r="G31" s="74"/>
    </row>
    <row r="32" spans="1:7" x14ac:dyDescent="0.2">
      <c r="A32" s="93" t="s">
        <v>208</v>
      </c>
      <c r="B32" s="144"/>
      <c r="C32" s="49"/>
      <c r="E32" s="131" t="s">
        <v>534</v>
      </c>
      <c r="F32" s="128"/>
      <c r="G32" s="132"/>
    </row>
    <row r="33" spans="1:7" x14ac:dyDescent="0.2">
      <c r="A33" s="93" t="s">
        <v>182</v>
      </c>
      <c r="B33" s="144"/>
      <c r="C33" s="49"/>
      <c r="E33" s="133" t="s">
        <v>535</v>
      </c>
      <c r="F33" s="129"/>
      <c r="G33" s="134"/>
    </row>
    <row r="34" spans="1:7" x14ac:dyDescent="0.2">
      <c r="A34" s="93" t="s">
        <v>183</v>
      </c>
      <c r="B34" s="144"/>
      <c r="C34" s="49"/>
      <c r="E34" s="133" t="s">
        <v>536</v>
      </c>
      <c r="F34" s="129"/>
      <c r="G34" s="134"/>
    </row>
    <row r="35" spans="1:7" x14ac:dyDescent="0.2">
      <c r="A35" s="93" t="s">
        <v>134</v>
      </c>
      <c r="B35" s="144"/>
      <c r="C35" s="49"/>
      <c r="E35" s="133" t="s">
        <v>537</v>
      </c>
      <c r="F35" s="129"/>
      <c r="G35" s="134"/>
    </row>
    <row r="36" spans="1:7" s="34" customFormat="1" x14ac:dyDescent="0.2">
      <c r="A36" s="32"/>
      <c r="B36" s="49"/>
      <c r="C36" s="49"/>
      <c r="D36" s="2"/>
      <c r="E36" s="133" t="s">
        <v>538</v>
      </c>
      <c r="F36" s="129"/>
      <c r="G36" s="134"/>
    </row>
    <row r="37" spans="1:7" s="34" customFormat="1" x14ac:dyDescent="0.2">
      <c r="A37" s="47" t="s">
        <v>128</v>
      </c>
      <c r="B37" s="50"/>
      <c r="C37" s="48"/>
      <c r="D37" s="2"/>
      <c r="E37" s="133" t="s">
        <v>539</v>
      </c>
      <c r="F37" s="129"/>
      <c r="G37" s="134"/>
    </row>
    <row r="38" spans="1:7" s="34" customFormat="1" x14ac:dyDescent="0.2">
      <c r="A38" s="13" t="s">
        <v>300</v>
      </c>
      <c r="B38" s="43" t="s">
        <v>144</v>
      </c>
      <c r="C38" s="75"/>
      <c r="D38" s="2"/>
      <c r="E38" s="133" t="s">
        <v>540</v>
      </c>
      <c r="F38" s="129"/>
      <c r="G38" s="134"/>
    </row>
    <row r="39" spans="1:7" x14ac:dyDescent="0.2">
      <c r="A39" s="13" t="s">
        <v>236</v>
      </c>
      <c r="B39" s="43" t="s">
        <v>138</v>
      </c>
      <c r="C39" s="49"/>
      <c r="E39" s="133" t="s">
        <v>541</v>
      </c>
      <c r="F39" s="129"/>
      <c r="G39" s="134"/>
    </row>
    <row r="40" spans="1:7" s="34" customFormat="1" x14ac:dyDescent="0.2">
      <c r="A40" s="59"/>
      <c r="B40" s="43"/>
      <c r="C40" s="49"/>
      <c r="D40" s="51"/>
      <c r="E40" s="133" t="s">
        <v>542</v>
      </c>
      <c r="F40" s="129"/>
      <c r="G40" s="134"/>
    </row>
    <row r="41" spans="1:7" s="34" customFormat="1" x14ac:dyDescent="0.2">
      <c r="A41" s="13" t="s">
        <v>159</v>
      </c>
      <c r="B41" s="43" t="s">
        <v>153</v>
      </c>
      <c r="C41" s="49"/>
      <c r="D41" s="51"/>
      <c r="E41" s="133" t="s">
        <v>543</v>
      </c>
      <c r="F41" s="129"/>
      <c r="G41" s="134"/>
    </row>
    <row r="42" spans="1:7" s="34" customFormat="1" x14ac:dyDescent="0.2">
      <c r="A42" s="13" t="s">
        <v>140</v>
      </c>
      <c r="B42" s="43" t="s">
        <v>229</v>
      </c>
      <c r="C42" s="49"/>
      <c r="D42" s="51"/>
      <c r="E42" s="133" t="s">
        <v>544</v>
      </c>
      <c r="F42" s="129"/>
      <c r="G42" s="134"/>
    </row>
    <row r="43" spans="1:7" s="34" customFormat="1" x14ac:dyDescent="0.2">
      <c r="A43" s="59" t="s">
        <v>248</v>
      </c>
      <c r="B43" s="43" t="s">
        <v>596</v>
      </c>
      <c r="C43" s="49"/>
      <c r="D43" s="51"/>
      <c r="E43" s="133"/>
      <c r="F43" s="129"/>
      <c r="G43" s="134"/>
    </row>
    <row r="44" spans="1:7" x14ac:dyDescent="0.2">
      <c r="A44" s="32"/>
      <c r="B44" s="56"/>
      <c r="C44" s="56"/>
      <c r="D44" s="34"/>
      <c r="E44" s="133" t="s">
        <v>545</v>
      </c>
      <c r="F44" s="129"/>
      <c r="G44" s="134"/>
    </row>
    <row r="45" spans="1:7" x14ac:dyDescent="0.2">
      <c r="A45" s="47" t="s">
        <v>129</v>
      </c>
      <c r="B45" s="57" t="s">
        <v>303</v>
      </c>
      <c r="C45" s="58"/>
      <c r="E45" s="133" t="s">
        <v>546</v>
      </c>
      <c r="F45" s="129"/>
      <c r="G45" s="134"/>
    </row>
    <row r="46" spans="1:7" x14ac:dyDescent="0.2">
      <c r="A46" s="13" t="s">
        <v>221</v>
      </c>
      <c r="B46" s="93" t="s">
        <v>222</v>
      </c>
      <c r="C46" s="94"/>
      <c r="D46" s="75"/>
      <c r="E46" s="133" t="s">
        <v>547</v>
      </c>
      <c r="F46" s="129"/>
      <c r="G46" s="134"/>
    </row>
    <row r="47" spans="1:7" x14ac:dyDescent="0.2">
      <c r="A47" s="13" t="s">
        <v>223</v>
      </c>
      <c r="B47" s="93" t="s">
        <v>304</v>
      </c>
      <c r="C47" s="45"/>
      <c r="E47" s="133" t="s">
        <v>548</v>
      </c>
      <c r="F47" s="129"/>
      <c r="G47" s="134"/>
    </row>
    <row r="48" spans="1:7" x14ac:dyDescent="0.2">
      <c r="A48" s="13" t="s">
        <v>225</v>
      </c>
      <c r="B48" s="93" t="s">
        <v>239</v>
      </c>
      <c r="C48" s="45"/>
      <c r="E48" s="133"/>
      <c r="F48" s="129"/>
      <c r="G48" s="134"/>
    </row>
    <row r="49" spans="1:7" x14ac:dyDescent="0.2">
      <c r="A49" s="13" t="s">
        <v>223</v>
      </c>
      <c r="B49" s="93" t="s">
        <v>305</v>
      </c>
      <c r="C49" s="45"/>
      <c r="E49" s="133" t="s">
        <v>549</v>
      </c>
      <c r="F49" s="129"/>
      <c r="G49" s="134"/>
    </row>
    <row r="50" spans="1:7" x14ac:dyDescent="0.2">
      <c r="A50" s="13" t="s">
        <v>228</v>
      </c>
      <c r="B50" s="93" t="s">
        <v>511</v>
      </c>
      <c r="C50" s="45"/>
      <c r="E50" s="133" t="s">
        <v>550</v>
      </c>
      <c r="F50" s="129"/>
      <c r="G50" s="134"/>
    </row>
    <row r="51" spans="1:7" x14ac:dyDescent="0.2">
      <c r="A51" s="32"/>
      <c r="B51" s="56"/>
      <c r="C51" s="56"/>
      <c r="E51" s="133"/>
      <c r="F51" s="129"/>
      <c r="G51" s="134"/>
    </row>
    <row r="52" spans="1:7" x14ac:dyDescent="0.2">
      <c r="A52" s="47" t="s">
        <v>129</v>
      </c>
      <c r="B52" s="57" t="s">
        <v>230</v>
      </c>
      <c r="C52" s="58"/>
      <c r="E52" s="133" t="s">
        <v>551</v>
      </c>
      <c r="F52" s="129"/>
      <c r="G52" s="134"/>
    </row>
    <row r="53" spans="1:7" x14ac:dyDescent="0.2">
      <c r="A53" s="13" t="s">
        <v>221</v>
      </c>
      <c r="B53" s="93" t="s">
        <v>222</v>
      </c>
      <c r="C53" s="94"/>
      <c r="D53" s="75"/>
      <c r="E53" s="133" t="s">
        <v>552</v>
      </c>
      <c r="F53" s="129"/>
      <c r="G53" s="134"/>
    </row>
    <row r="54" spans="1:7" x14ac:dyDescent="0.2">
      <c r="A54" s="13" t="s">
        <v>223</v>
      </c>
      <c r="B54" s="93" t="s">
        <v>224</v>
      </c>
      <c r="C54" s="45"/>
      <c r="E54" s="133"/>
      <c r="F54" s="129"/>
      <c r="G54" s="134"/>
    </row>
    <row r="55" spans="1:7" x14ac:dyDescent="0.2">
      <c r="A55" s="13" t="s">
        <v>225</v>
      </c>
      <c r="B55" s="93" t="s">
        <v>231</v>
      </c>
      <c r="C55" s="45"/>
      <c r="E55" s="133" t="s">
        <v>553</v>
      </c>
      <c r="F55" s="129"/>
      <c r="G55" s="134"/>
    </row>
    <row r="56" spans="1:7" x14ac:dyDescent="0.2">
      <c r="A56" s="13" t="s">
        <v>223</v>
      </c>
      <c r="B56" s="93" t="s">
        <v>226</v>
      </c>
      <c r="C56" s="45"/>
      <c r="E56" s="133" t="s">
        <v>554</v>
      </c>
      <c r="F56" s="129"/>
      <c r="G56" s="134"/>
    </row>
    <row r="57" spans="1:7" x14ac:dyDescent="0.2">
      <c r="A57" s="13" t="s">
        <v>228</v>
      </c>
      <c r="B57" s="93" t="s">
        <v>232</v>
      </c>
      <c r="C57" s="45"/>
      <c r="E57" s="133" t="s">
        <v>555</v>
      </c>
      <c r="F57" s="129"/>
      <c r="G57" s="134"/>
    </row>
    <row r="58" spans="1:7" x14ac:dyDescent="0.2">
      <c r="A58" s="13" t="s">
        <v>223</v>
      </c>
      <c r="B58" s="93" t="s">
        <v>227</v>
      </c>
      <c r="C58" s="45"/>
      <c r="E58" s="133" t="s">
        <v>556</v>
      </c>
      <c r="F58" s="129"/>
      <c r="G58" s="134"/>
    </row>
    <row r="59" spans="1:7" x14ac:dyDescent="0.2">
      <c r="A59" s="13" t="s">
        <v>228</v>
      </c>
      <c r="B59" s="93" t="s">
        <v>233</v>
      </c>
      <c r="C59" s="45"/>
      <c r="E59" s="133" t="s">
        <v>557</v>
      </c>
      <c r="F59" s="129"/>
      <c r="G59" s="134"/>
    </row>
    <row r="60" spans="1:7" x14ac:dyDescent="0.2">
      <c r="A60" s="32"/>
      <c r="B60" s="56"/>
      <c r="C60" s="56"/>
      <c r="E60" s="133" t="s">
        <v>558</v>
      </c>
      <c r="F60" s="129"/>
      <c r="G60" s="134"/>
    </row>
    <row r="61" spans="1:7" x14ac:dyDescent="0.2">
      <c r="A61"/>
      <c r="B61"/>
      <c r="C61"/>
      <c r="E61" s="133" t="s">
        <v>559</v>
      </c>
      <c r="F61" s="135"/>
      <c r="G61" s="136"/>
    </row>
    <row r="62" spans="1:7" x14ac:dyDescent="0.2">
      <c r="A62" s="47" t="s">
        <v>129</v>
      </c>
      <c r="B62" s="57" t="s">
        <v>296</v>
      </c>
      <c r="C62" s="58"/>
      <c r="E62" s="133" t="s">
        <v>560</v>
      </c>
      <c r="F62" s="135"/>
      <c r="G62" s="136"/>
    </row>
    <row r="63" spans="1:7" x14ac:dyDescent="0.2">
      <c r="A63" s="13" t="s">
        <v>221</v>
      </c>
      <c r="B63" s="93" t="s">
        <v>234</v>
      </c>
      <c r="C63" s="94"/>
      <c r="E63" s="133" t="s">
        <v>561</v>
      </c>
      <c r="F63" s="135"/>
      <c r="G63" s="136"/>
    </row>
    <row r="64" spans="1:7" x14ac:dyDescent="0.2">
      <c r="A64" s="13" t="s">
        <v>223</v>
      </c>
      <c r="B64" s="93" t="s">
        <v>224</v>
      </c>
      <c r="C64" s="45"/>
      <c r="E64" s="133" t="s">
        <v>562</v>
      </c>
      <c r="F64" s="135"/>
      <c r="G64" s="136"/>
    </row>
    <row r="65" spans="1:7" x14ac:dyDescent="0.2">
      <c r="A65" s="13" t="s">
        <v>225</v>
      </c>
      <c r="B65" s="93" t="s">
        <v>297</v>
      </c>
      <c r="C65" s="45"/>
      <c r="E65" s="133" t="s">
        <v>563</v>
      </c>
      <c r="F65" s="135"/>
      <c r="G65" s="136"/>
    </row>
    <row r="66" spans="1:7" x14ac:dyDescent="0.2">
      <c r="A66" s="13" t="s">
        <v>223</v>
      </c>
      <c r="B66" s="93" t="s">
        <v>226</v>
      </c>
      <c r="C66" s="45"/>
      <c r="E66" s="133" t="s">
        <v>564</v>
      </c>
      <c r="F66" s="135"/>
      <c r="G66" s="136"/>
    </row>
    <row r="67" spans="1:7" x14ac:dyDescent="0.2">
      <c r="A67" s="13" t="s">
        <v>228</v>
      </c>
      <c r="B67" s="93" t="s">
        <v>298</v>
      </c>
      <c r="C67" s="45"/>
      <c r="E67" s="133" t="s">
        <v>565</v>
      </c>
      <c r="F67" s="135"/>
      <c r="G67" s="136"/>
    </row>
    <row r="68" spans="1:7" x14ac:dyDescent="0.2">
      <c r="A68" s="13" t="s">
        <v>223</v>
      </c>
      <c r="B68" s="93" t="s">
        <v>227</v>
      </c>
      <c r="C68" s="45"/>
      <c r="E68" s="133" t="s">
        <v>566</v>
      </c>
      <c r="F68" s="135"/>
      <c r="G68" s="136"/>
    </row>
    <row r="69" spans="1:7" x14ac:dyDescent="0.2">
      <c r="A69" s="13" t="s">
        <v>228</v>
      </c>
      <c r="B69" s="93" t="s">
        <v>299</v>
      </c>
      <c r="C69" s="45"/>
      <c r="E69" s="133" t="s">
        <v>567</v>
      </c>
      <c r="F69" s="135"/>
      <c r="G69" s="136"/>
    </row>
    <row r="70" spans="1:7" x14ac:dyDescent="0.2">
      <c r="A70"/>
      <c r="B70"/>
      <c r="C70"/>
      <c r="E70" s="133" t="s">
        <v>568</v>
      </c>
      <c r="F70" s="135"/>
      <c r="G70" s="136"/>
    </row>
    <row r="71" spans="1:7" x14ac:dyDescent="0.2">
      <c r="A71" s="60" t="s">
        <v>130</v>
      </c>
      <c r="B71" s="61"/>
      <c r="C71" s="58"/>
      <c r="E71" s="133" t="s">
        <v>569</v>
      </c>
      <c r="F71" s="135"/>
      <c r="G71" s="136"/>
    </row>
    <row r="72" spans="1:7" x14ac:dyDescent="0.2">
      <c r="A72" s="108" t="s">
        <v>306</v>
      </c>
      <c r="B72" s="53"/>
      <c r="C72" s="92"/>
      <c r="E72" s="133" t="s">
        <v>570</v>
      </c>
      <c r="F72" s="135"/>
      <c r="G72" s="136"/>
    </row>
    <row r="73" spans="1:7" x14ac:dyDescent="0.2">
      <c r="A73" s="54" t="s">
        <v>308</v>
      </c>
      <c r="B73" s="32"/>
      <c r="C73" s="109"/>
      <c r="E73" s="133" t="s">
        <v>571</v>
      </c>
      <c r="F73" s="135"/>
      <c r="G73" s="136"/>
    </row>
    <row r="74" spans="1:7" x14ac:dyDescent="0.2">
      <c r="A74" s="54" t="s">
        <v>307</v>
      </c>
      <c r="B74" s="32"/>
      <c r="C74" s="109"/>
      <c r="E74" s="133" t="s">
        <v>572</v>
      </c>
      <c r="F74" s="135"/>
      <c r="G74" s="136"/>
    </row>
    <row r="75" spans="1:7" x14ac:dyDescent="0.2">
      <c r="A75" s="54" t="s">
        <v>291</v>
      </c>
      <c r="B75" s="32"/>
      <c r="C75" s="109"/>
      <c r="D75" s="75"/>
      <c r="E75" s="133" t="s">
        <v>573</v>
      </c>
      <c r="F75" s="135"/>
      <c r="G75" s="136"/>
    </row>
    <row r="76" spans="1:7" x14ac:dyDescent="0.2">
      <c r="A76" s="54" t="s">
        <v>301</v>
      </c>
      <c r="B76" s="32"/>
      <c r="C76" s="109"/>
      <c r="E76" s="133" t="s">
        <v>574</v>
      </c>
      <c r="F76" s="135"/>
      <c r="G76" s="136"/>
    </row>
    <row r="77" spans="1:7" x14ac:dyDescent="0.2">
      <c r="A77" s="54" t="s">
        <v>302</v>
      </c>
      <c r="B77" s="32"/>
      <c r="C77" s="109"/>
      <c r="E77" s="133" t="s">
        <v>575</v>
      </c>
      <c r="F77" s="135"/>
      <c r="G77" s="136"/>
    </row>
    <row r="78" spans="1:7" x14ac:dyDescent="0.2">
      <c r="A78" s="54" t="s">
        <v>295</v>
      </c>
      <c r="B78" s="32"/>
      <c r="C78" s="109"/>
      <c r="E78" s="133" t="s">
        <v>576</v>
      </c>
      <c r="F78" s="135"/>
      <c r="G78" s="136"/>
    </row>
    <row r="79" spans="1:7" x14ac:dyDescent="0.2">
      <c r="A79" s="54" t="s">
        <v>292</v>
      </c>
      <c r="B79" s="32"/>
      <c r="C79" s="109"/>
      <c r="E79" s="133" t="s">
        <v>577</v>
      </c>
      <c r="F79" s="135"/>
      <c r="G79" s="136"/>
    </row>
    <row r="80" spans="1:7" x14ac:dyDescent="0.2">
      <c r="A80" s="54" t="s">
        <v>293</v>
      </c>
      <c r="B80" s="32"/>
      <c r="C80" s="109"/>
      <c r="E80" s="133" t="s">
        <v>578</v>
      </c>
      <c r="F80" s="135"/>
      <c r="G80" s="136"/>
    </row>
    <row r="81" spans="1:7" x14ac:dyDescent="0.2">
      <c r="A81" s="54" t="s">
        <v>294</v>
      </c>
      <c r="B81" s="32"/>
      <c r="C81" s="109"/>
      <c r="E81" s="133" t="s">
        <v>579</v>
      </c>
      <c r="F81" s="135"/>
      <c r="G81" s="136"/>
    </row>
    <row r="82" spans="1:7" x14ac:dyDescent="0.2">
      <c r="A82" s="54"/>
      <c r="B82" s="32"/>
      <c r="C82" s="109"/>
      <c r="E82" s="133" t="s">
        <v>580</v>
      </c>
      <c r="F82" s="135"/>
      <c r="G82" s="136"/>
    </row>
    <row r="83" spans="1:7" x14ac:dyDescent="0.2">
      <c r="A83" s="66"/>
      <c r="B83" s="55"/>
      <c r="C83" s="12"/>
      <c r="E83" s="133" t="s">
        <v>581</v>
      </c>
      <c r="F83" s="135"/>
      <c r="G83" s="136"/>
    </row>
    <row r="84" spans="1:7" x14ac:dyDescent="0.2">
      <c r="A84" s="95"/>
      <c r="B84" s="91"/>
      <c r="C84" s="48"/>
      <c r="E84" s="133" t="s">
        <v>582</v>
      </c>
      <c r="F84" s="135"/>
      <c r="G84" s="136"/>
    </row>
    <row r="85" spans="1:7" x14ac:dyDescent="0.2">
      <c r="A85" s="47" t="s">
        <v>131</v>
      </c>
      <c r="B85" s="52"/>
      <c r="E85" s="124" t="s">
        <v>583</v>
      </c>
      <c r="F85" s="34"/>
      <c r="G85" s="113"/>
    </row>
    <row r="86" spans="1:7" x14ac:dyDescent="0.2">
      <c r="A86" s="13"/>
      <c r="B86" s="13"/>
      <c r="E86" s="124"/>
      <c r="F86" s="34"/>
      <c r="G86" s="113"/>
    </row>
    <row r="87" spans="1:7" x14ac:dyDescent="0.2">
      <c r="E87" s="124" t="s">
        <v>584</v>
      </c>
      <c r="F87" s="34"/>
      <c r="G87" s="113"/>
    </row>
    <row r="88" spans="1:7" x14ac:dyDescent="0.2">
      <c r="E88" s="124" t="s">
        <v>585</v>
      </c>
      <c r="F88" s="34"/>
      <c r="G88" s="113"/>
    </row>
    <row r="89" spans="1:7" x14ac:dyDescent="0.2">
      <c r="E89" s="124" t="s">
        <v>586</v>
      </c>
      <c r="F89" s="34"/>
      <c r="G89" s="113"/>
    </row>
    <row r="90" spans="1:7" x14ac:dyDescent="0.2">
      <c r="E90" s="137" t="s">
        <v>587</v>
      </c>
      <c r="F90" s="115"/>
      <c r="G90" s="116"/>
    </row>
  </sheetData>
  <mergeCells count="3">
    <mergeCell ref="C2:D2"/>
    <mergeCell ref="E2:F2"/>
    <mergeCell ref="G2:H2"/>
  </mergeCells>
  <phoneticPr fontId="5"/>
  <pageMargins left="0.39370078740157483" right="0.39370078740157483" top="0.98425196850393704" bottom="0.98425196850393704" header="0.51181102362204722" footer="0.51181102362204722"/>
  <pageSetup paperSize="9" scale="70" orientation="landscape" verticalDpi="300" r:id="rId1"/>
  <headerFooter alignWithMargins="0"/>
  <colBreaks count="1" manualBreakCount="1">
    <brk id="8" max="4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38E0-0F8E-4B86-BD64-16F6B0AAAE95}">
  <sheetPr codeName="Sheet33"/>
  <dimension ref="A1:J42"/>
  <sheetViews>
    <sheetView view="pageBreakPreview" zoomScale="85" zoomScaleNormal="85" zoomScaleSheetLayoutView="100" workbookViewId="0">
      <pane ySplit="2" topLeftCell="A3" activePane="bottomLeft" state="frozen"/>
      <selection activeCell="B17" sqref="B17"/>
      <selection pane="bottomLeft" activeCell="A3" sqref="A3"/>
    </sheetView>
  </sheetViews>
  <sheetFormatPr defaultColWidth="9" defaultRowHeight="13" x14ac:dyDescent="0.2"/>
  <cols>
    <col min="1" max="1" width="23.36328125" style="2" customWidth="1"/>
    <col min="2" max="2" width="21.36328125" style="2" customWidth="1"/>
    <col min="3" max="3" width="13.90625" style="2" customWidth="1"/>
    <col min="4" max="4" width="11.7265625" style="2" customWidth="1"/>
    <col min="5" max="5" width="18" style="2" customWidth="1"/>
    <col min="6" max="6" width="13.453125" style="2" customWidth="1"/>
    <col min="7" max="7" width="33.08984375" style="2" customWidth="1"/>
    <col min="8" max="8" width="17.7265625" style="2" customWidth="1"/>
    <col min="9" max="16384" width="9" style="2"/>
  </cols>
  <sheetData>
    <row r="1" spans="1:10" s="25" customFormat="1" ht="30" customHeight="1" thickBot="1" x14ac:dyDescent="0.25">
      <c r="A1" s="22"/>
    </row>
    <row r="2" spans="1:10" s="26" customFormat="1" ht="24" customHeight="1" x14ac:dyDescent="0.25">
      <c r="A2" s="23" t="s">
        <v>122</v>
      </c>
      <c r="C2" s="242" t="str">
        <f>'設定＆実行'!C2:D2</f>
        <v>管理番号：DN-030103-019.01
分類　　　：開発標準化</v>
      </c>
      <c r="D2" s="242"/>
      <c r="E2" s="242" t="str">
        <f>'設定＆実行'!F2</f>
        <v>更新者：
更新日：</v>
      </c>
      <c r="F2" s="242"/>
      <c r="G2" s="243" t="str">
        <f>'設定＆実行'!H2</f>
        <v>作成者：ASPAC 衣川
作成日：2006/12/19</v>
      </c>
      <c r="H2" s="243"/>
      <c r="I2" s="24"/>
      <c r="J2" s="24"/>
    </row>
    <row r="3" spans="1:10" ht="25.5" customHeight="1" x14ac:dyDescent="0.35">
      <c r="A3" s="1" t="s">
        <v>485</v>
      </c>
    </row>
    <row r="5" spans="1:10" ht="14.25" customHeight="1" x14ac:dyDescent="0.2">
      <c r="A5" s="9" t="s">
        <v>26</v>
      </c>
      <c r="B5" s="14"/>
    </row>
    <row r="7" spans="1:10" x14ac:dyDescent="0.2">
      <c r="A7" s="2" t="s">
        <v>289</v>
      </c>
    </row>
    <row r="9" spans="1:10" ht="14.25" customHeight="1" x14ac:dyDescent="0.2">
      <c r="A9" s="3" t="s">
        <v>311</v>
      </c>
    </row>
    <row r="10" spans="1:10" x14ac:dyDescent="0.2">
      <c r="A10" s="10"/>
    </row>
    <row r="11" spans="1:10" x14ac:dyDescent="0.2">
      <c r="A11" s="15" t="s">
        <v>492</v>
      </c>
      <c r="B11" s="15" t="s">
        <v>62</v>
      </c>
      <c r="C11" s="15" t="s">
        <v>63</v>
      </c>
      <c r="D11" s="15" t="s">
        <v>64</v>
      </c>
      <c r="E11" s="15" t="s">
        <v>65</v>
      </c>
      <c r="F11" s="15" t="s">
        <v>124</v>
      </c>
      <c r="G11" s="253" t="s">
        <v>66</v>
      </c>
      <c r="H11" s="254"/>
    </row>
    <row r="12" spans="1:10" x14ac:dyDescent="0.2">
      <c r="A12" s="11" t="str">
        <f>IF(ISERROR(FIND("_",E12)),LOWER(E12),CONCATENATE(LOWER(LEFT(E12,(FIND("_",E12))-1)),SUBSTITUTE(PROPER(LOWER(RIGHT(E12,LEN(E12)-FIND("_",E12)))),"_","")))</f>
        <v>companyCd</v>
      </c>
      <c r="B12" s="44" t="s">
        <v>486</v>
      </c>
      <c r="C12" s="13" t="s">
        <v>67</v>
      </c>
      <c r="D12" s="13" t="s">
        <v>487</v>
      </c>
      <c r="E12" s="148" t="s">
        <v>488</v>
      </c>
      <c r="F12" s="46" t="s">
        <v>489</v>
      </c>
      <c r="G12" s="140" t="s">
        <v>486</v>
      </c>
      <c r="H12" s="149"/>
    </row>
    <row r="13" spans="1:10" x14ac:dyDescent="0.2">
      <c r="A13" s="11" t="str">
        <f>IF(ISERROR(FIND("_",E13)),LOWER(E13),CONCATENATE(LOWER(LEFT(E13,(FIND("_",E13))-1)),SUBSTITUTE(PROPER(LOWER(RIGHT(E13,LEN(E13)-FIND("_",E13)))),"_","")))</f>
        <v>companyName</v>
      </c>
      <c r="B13" s="44" t="s">
        <v>490</v>
      </c>
      <c r="C13" s="13" t="s">
        <v>67</v>
      </c>
      <c r="D13" s="13" t="s">
        <v>58</v>
      </c>
      <c r="E13" s="148" t="s">
        <v>491</v>
      </c>
      <c r="F13" s="46" t="s">
        <v>489</v>
      </c>
      <c r="G13" s="140" t="s">
        <v>490</v>
      </c>
      <c r="H13" s="149"/>
    </row>
    <row r="14" spans="1:10" x14ac:dyDescent="0.2">
      <c r="A14" s="32"/>
      <c r="B14" s="31"/>
      <c r="C14" s="32"/>
      <c r="D14" s="32"/>
      <c r="E14" s="33"/>
      <c r="F14" s="31"/>
      <c r="G14" s="31"/>
    </row>
    <row r="16" spans="1:10" s="34" customFormat="1" ht="25.5" x14ac:dyDescent="0.35">
      <c r="A16" s="30" t="s">
        <v>123</v>
      </c>
      <c r="B16" s="31"/>
      <c r="C16" s="32"/>
      <c r="D16" s="32"/>
      <c r="E16" s="32"/>
      <c r="F16" s="70"/>
      <c r="G16" s="32"/>
      <c r="H16" s="31"/>
    </row>
    <row r="17" spans="1:9" s="34" customFormat="1" ht="19" x14ac:dyDescent="0.3">
      <c r="A17" s="35" t="s">
        <v>484</v>
      </c>
      <c r="B17" s="36"/>
      <c r="C17" s="37"/>
      <c r="D17" s="37"/>
      <c r="E17" s="37"/>
      <c r="F17" s="31"/>
      <c r="G17" s="37"/>
      <c r="H17" s="31"/>
    </row>
    <row r="18" spans="1:9" s="34" customFormat="1" ht="14" x14ac:dyDescent="0.2">
      <c r="A18" s="3" t="s">
        <v>493</v>
      </c>
      <c r="B18" s="36"/>
      <c r="C18" s="37"/>
      <c r="D18" s="37"/>
      <c r="E18" s="71"/>
      <c r="F18" s="31"/>
      <c r="G18" s="37"/>
      <c r="H18" s="31"/>
    </row>
    <row r="19" spans="1:9" x14ac:dyDescent="0.2">
      <c r="A19" s="32"/>
      <c r="B19" s="31"/>
      <c r="C19" s="32"/>
      <c r="D19" s="32"/>
      <c r="E19" s="32"/>
      <c r="F19" s="31"/>
      <c r="G19" s="32"/>
    </row>
    <row r="20" spans="1:9" s="34" customFormat="1" x14ac:dyDescent="0.2">
      <c r="A20" s="150" t="s">
        <v>494</v>
      </c>
      <c r="B20" s="39"/>
      <c r="C20" s="40"/>
      <c r="D20" s="40"/>
      <c r="E20" s="40"/>
      <c r="F20" s="40"/>
      <c r="G20" s="41"/>
      <c r="H20" s="39"/>
      <c r="I20" s="42"/>
    </row>
    <row r="22" spans="1:9" x14ac:dyDescent="0.2">
      <c r="A22" s="47" t="s">
        <v>127</v>
      </c>
      <c r="B22" s="48"/>
      <c r="C22" s="48"/>
    </row>
    <row r="23" spans="1:9" x14ac:dyDescent="0.2">
      <c r="A23" s="13" t="s">
        <v>495</v>
      </c>
      <c r="B23" s="75"/>
      <c r="C23" s="49"/>
    </row>
    <row r="24" spans="1:9" x14ac:dyDescent="0.2">
      <c r="A24" s="13"/>
      <c r="B24" s="49"/>
      <c r="C24" s="49"/>
    </row>
    <row r="25" spans="1:9" x14ac:dyDescent="0.2">
      <c r="A25" s="32"/>
      <c r="B25" s="49"/>
      <c r="C25" s="49"/>
    </row>
    <row r="26" spans="1:9" x14ac:dyDescent="0.2">
      <c r="A26" s="47" t="s">
        <v>128</v>
      </c>
      <c r="B26" s="50"/>
      <c r="C26" s="48"/>
    </row>
    <row r="27" spans="1:9" x14ac:dyDescent="0.2">
      <c r="A27" s="13" t="s">
        <v>496</v>
      </c>
      <c r="B27" s="43" t="s">
        <v>497</v>
      </c>
      <c r="C27" s="75"/>
    </row>
    <row r="28" spans="1:9" x14ac:dyDescent="0.2">
      <c r="A28" s="13" t="s">
        <v>498</v>
      </c>
      <c r="B28" s="43" t="s">
        <v>499</v>
      </c>
      <c r="C28" s="49"/>
    </row>
    <row r="29" spans="1:9" s="51" customFormat="1" x14ac:dyDescent="0.2">
      <c r="A29" s="48"/>
      <c r="B29" s="49"/>
      <c r="C29" s="49"/>
    </row>
    <row r="30" spans="1:9" x14ac:dyDescent="0.2">
      <c r="A30" s="47" t="s">
        <v>129</v>
      </c>
      <c r="B30" s="52"/>
      <c r="C30" s="52"/>
      <c r="E30" s="72" t="s">
        <v>500</v>
      </c>
      <c r="F30" s="73"/>
      <c r="G30" s="74"/>
    </row>
    <row r="31" spans="1:9" x14ac:dyDescent="0.2">
      <c r="A31" s="13" t="s">
        <v>221</v>
      </c>
      <c r="B31" s="13"/>
      <c r="C31" s="151"/>
      <c r="E31" s="244" t="s">
        <v>501</v>
      </c>
      <c r="F31" s="245"/>
      <c r="G31" s="246"/>
    </row>
    <row r="32" spans="1:9" x14ac:dyDescent="0.2">
      <c r="A32" s="13" t="s">
        <v>223</v>
      </c>
      <c r="B32" s="13"/>
      <c r="C32" s="13"/>
      <c r="E32" s="247"/>
      <c r="F32" s="248"/>
      <c r="G32" s="249"/>
    </row>
    <row r="33" spans="1:7" x14ac:dyDescent="0.2">
      <c r="A33" s="13" t="s">
        <v>502</v>
      </c>
      <c r="B33" s="13"/>
      <c r="C33" s="13"/>
      <c r="E33" s="247"/>
      <c r="F33" s="248"/>
      <c r="G33" s="249"/>
    </row>
    <row r="34" spans="1:7" s="34" customFormat="1" x14ac:dyDescent="0.2">
      <c r="A34" s="32"/>
      <c r="B34" s="56"/>
      <c r="C34" s="56"/>
      <c r="E34" s="247"/>
      <c r="F34" s="248"/>
      <c r="G34" s="249"/>
    </row>
    <row r="35" spans="1:7" x14ac:dyDescent="0.2">
      <c r="A35" s="60" t="s">
        <v>130</v>
      </c>
      <c r="B35" s="61"/>
      <c r="C35" s="58"/>
      <c r="E35" s="247"/>
      <c r="F35" s="248"/>
      <c r="G35" s="249"/>
    </row>
    <row r="36" spans="1:7" x14ac:dyDescent="0.2">
      <c r="A36" s="54"/>
      <c r="B36" s="32"/>
      <c r="C36" s="109"/>
      <c r="D36" s="75"/>
      <c r="E36" s="247"/>
      <c r="F36" s="248"/>
      <c r="G36" s="249"/>
    </row>
    <row r="37" spans="1:7" x14ac:dyDescent="0.2">
      <c r="A37" s="152"/>
      <c r="B37" s="32"/>
      <c r="C37" s="109"/>
      <c r="E37" s="247"/>
      <c r="F37" s="248"/>
      <c r="G37" s="249"/>
    </row>
    <row r="38" spans="1:7" x14ac:dyDescent="0.2">
      <c r="A38" s="153"/>
      <c r="B38" s="55"/>
      <c r="C38" s="12"/>
      <c r="E38" s="247"/>
      <c r="F38" s="248"/>
      <c r="G38" s="249"/>
    </row>
    <row r="39" spans="1:7" x14ac:dyDescent="0.2">
      <c r="A39" s="32"/>
      <c r="B39" s="56"/>
      <c r="C39" s="56"/>
      <c r="E39" s="247"/>
      <c r="F39" s="248"/>
      <c r="G39" s="249"/>
    </row>
    <row r="40" spans="1:7" x14ac:dyDescent="0.2">
      <c r="A40" s="47" t="s">
        <v>131</v>
      </c>
      <c r="B40" s="52"/>
      <c r="C40" s="48"/>
      <c r="E40" s="247"/>
      <c r="F40" s="248"/>
      <c r="G40" s="249"/>
    </row>
    <row r="41" spans="1:7" x14ac:dyDescent="0.2">
      <c r="A41" s="13" t="s">
        <v>503</v>
      </c>
      <c r="B41" s="13" t="s">
        <v>9</v>
      </c>
      <c r="E41" s="247"/>
      <c r="F41" s="248"/>
      <c r="G41" s="249"/>
    </row>
    <row r="42" spans="1:7" x14ac:dyDescent="0.2">
      <c r="E42" s="250"/>
      <c r="F42" s="251"/>
      <c r="G42" s="252"/>
    </row>
  </sheetData>
  <mergeCells count="5">
    <mergeCell ref="E31:G42"/>
    <mergeCell ref="C2:D2"/>
    <mergeCell ref="E2:F2"/>
    <mergeCell ref="G2:H2"/>
    <mergeCell ref="G11:H11"/>
  </mergeCells>
  <phoneticPr fontId="5"/>
  <pageMargins left="0.2" right="0.2" top="0.98399999999999999" bottom="0.98399999999999999" header="0.51200000000000001" footer="0.51200000000000001"/>
  <pageSetup paperSize="9" scale="62" orientation="portrait" verticalDpi="300" r:id="rId1"/>
  <headerFooter alignWithMargins="0"/>
  <colBreaks count="1" manualBreakCount="1">
    <brk id="8" max="4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66AF-A103-4957-8BD7-5D4E1424DAB7}">
  <sheetPr codeName="Sheet31"/>
  <dimension ref="A1:J46"/>
  <sheetViews>
    <sheetView view="pageBreakPreview" zoomScale="85" zoomScaleNormal="85" zoomScaleSheetLayoutView="100" workbookViewId="0">
      <pane ySplit="2" topLeftCell="A3" activePane="bottomLeft" state="frozen"/>
      <selection activeCell="B17" sqref="B17"/>
      <selection pane="bottomLeft" activeCell="A3" sqref="A3"/>
    </sheetView>
  </sheetViews>
  <sheetFormatPr defaultColWidth="9" defaultRowHeight="13" x14ac:dyDescent="0.2"/>
  <cols>
    <col min="1" max="1" width="23.36328125" style="2" customWidth="1"/>
    <col min="2" max="2" width="21.36328125" style="2" customWidth="1"/>
    <col min="3" max="3" width="13.90625" style="2" customWidth="1"/>
    <col min="4" max="4" width="11.7265625" style="2" customWidth="1"/>
    <col min="5" max="5" width="18" style="2" customWidth="1"/>
    <col min="6" max="6" width="13.453125" style="2" customWidth="1"/>
    <col min="7" max="7" width="53.08984375" style="2" customWidth="1"/>
    <col min="8" max="8" width="17.7265625" style="2" customWidth="1"/>
    <col min="9" max="16384" width="9" style="2"/>
  </cols>
  <sheetData>
    <row r="1" spans="1:10" s="25" customFormat="1" ht="30" customHeight="1" thickBot="1" x14ac:dyDescent="0.25">
      <c r="A1" s="22"/>
    </row>
    <row r="2" spans="1:10" s="26" customFormat="1" ht="24" customHeight="1" x14ac:dyDescent="0.25">
      <c r="A2" s="23" t="s">
        <v>122</v>
      </c>
      <c r="C2" s="242" t="str">
        <f>'設定＆実行'!C2:D2</f>
        <v>管理番号：DN-030103-019.01
分類　　　：開発標準化</v>
      </c>
      <c r="D2" s="242"/>
      <c r="E2" s="242" t="str">
        <f>'設定＆実行'!F2</f>
        <v>更新者：
更新日：</v>
      </c>
      <c r="F2" s="242"/>
      <c r="G2" s="243" t="str">
        <f>'設定＆実行'!H2</f>
        <v>作成者：ASPAC 衣川
作成日：2006/12/19</v>
      </c>
      <c r="H2" s="243"/>
      <c r="I2" s="24"/>
      <c r="J2" s="24"/>
    </row>
    <row r="3" spans="1:10" ht="25.5" customHeight="1" x14ac:dyDescent="0.35">
      <c r="A3" s="1" t="s">
        <v>504</v>
      </c>
    </row>
    <row r="5" spans="1:10" ht="14.25" customHeight="1" x14ac:dyDescent="0.2">
      <c r="A5" s="9" t="s">
        <v>200</v>
      </c>
      <c r="B5" s="14"/>
    </row>
    <row r="7" spans="1:10" x14ac:dyDescent="0.2">
      <c r="A7" s="2" t="s">
        <v>289</v>
      </c>
    </row>
    <row r="9" spans="1:10" ht="14.25" customHeight="1" x14ac:dyDescent="0.2">
      <c r="A9" s="3" t="s">
        <v>312</v>
      </c>
    </row>
    <row r="10" spans="1:10" x14ac:dyDescent="0.2">
      <c r="A10" s="10"/>
    </row>
    <row r="11" spans="1:10" x14ac:dyDescent="0.2">
      <c r="A11" s="15" t="s">
        <v>152</v>
      </c>
      <c r="B11" s="16" t="s">
        <v>62</v>
      </c>
      <c r="C11" s="16" t="s">
        <v>63</v>
      </c>
      <c r="D11" s="16" t="s">
        <v>64</v>
      </c>
      <c r="E11" s="16" t="s">
        <v>65</v>
      </c>
      <c r="F11" s="16" t="s">
        <v>124</v>
      </c>
      <c r="G11" s="16" t="s">
        <v>66</v>
      </c>
    </row>
    <row r="12" spans="1:10" x14ac:dyDescent="0.2">
      <c r="A12" s="11" t="str">
        <f>IF(ISERROR(FIND("_",E12)),LOWER(E12),CONCATENATE(LOWER(LEFT(E12,(FIND("_",E12))-1)),SUBSTITUTE(PROPER(LOWER(RIGHT(E12,LEN(E12)-FIND("_",E12)))),"_","")))</f>
        <v>companyCd</v>
      </c>
      <c r="B12" s="18" t="s">
        <v>199</v>
      </c>
      <c r="C12" s="79" t="s">
        <v>185</v>
      </c>
      <c r="D12" s="12" t="s">
        <v>132</v>
      </c>
      <c r="E12" s="20" t="s">
        <v>196</v>
      </c>
      <c r="F12" s="46" t="s">
        <v>25</v>
      </c>
      <c r="G12" s="18"/>
    </row>
    <row r="13" spans="1:10" x14ac:dyDescent="0.2">
      <c r="A13" s="11" t="str">
        <f>IF(ISERROR(FIND("_",E13)),LOWER(E13),CONCATENATE(LOWER(LEFT(E13,(FIND("_",E13))-1)),SUBSTITUTE(PROPER(LOWER(RIGHT(E13,LEN(E13)-FIND("_",E13)))),"_","")))</f>
        <v>sibuCd</v>
      </c>
      <c r="B13" s="18" t="s">
        <v>73</v>
      </c>
      <c r="C13" s="79" t="s">
        <v>195</v>
      </c>
      <c r="D13" s="12" t="s">
        <v>76</v>
      </c>
      <c r="E13" s="20" t="s">
        <v>197</v>
      </c>
      <c r="F13" s="46" t="s">
        <v>25</v>
      </c>
      <c r="G13" s="18"/>
    </row>
    <row r="14" spans="1:10" x14ac:dyDescent="0.2">
      <c r="A14" s="11" t="str">
        <f>IF(ISERROR(FIND("_",E14)),LOWER(E14),CONCATENATE(LOWER(LEFT(E14,(FIND("_",E14))-1)),SUBSTITUTE(PROPER(LOWER(RIGHT(E14,LEN(E14)-FIND("_",E14)))),"_","")))</f>
        <v>sibuName</v>
      </c>
      <c r="B14" s="18" t="s">
        <v>74</v>
      </c>
      <c r="C14" s="79" t="s">
        <v>195</v>
      </c>
      <c r="D14" s="12" t="s">
        <v>58</v>
      </c>
      <c r="E14" s="20" t="s">
        <v>198</v>
      </c>
      <c r="F14" s="46" t="s">
        <v>25</v>
      </c>
      <c r="G14" s="18"/>
    </row>
    <row r="15" spans="1:10" x14ac:dyDescent="0.2">
      <c r="A15" s="32"/>
      <c r="B15" s="31"/>
      <c r="C15" s="32"/>
      <c r="D15" s="32"/>
      <c r="E15" s="33"/>
      <c r="F15" s="31"/>
      <c r="G15" s="31"/>
    </row>
    <row r="17" spans="1:9" s="34" customFormat="1" ht="25.5" x14ac:dyDescent="0.35">
      <c r="A17" s="30" t="s">
        <v>123</v>
      </c>
      <c r="B17" s="31"/>
      <c r="C17" s="32"/>
      <c r="D17" s="32"/>
      <c r="E17" s="32"/>
      <c r="F17" s="70"/>
      <c r="G17" s="32"/>
      <c r="H17" s="31"/>
    </row>
    <row r="18" spans="1:9" s="34" customFormat="1" ht="19" x14ac:dyDescent="0.3">
      <c r="A18" s="35" t="s">
        <v>505</v>
      </c>
      <c r="B18" s="36"/>
      <c r="C18" s="37"/>
      <c r="D18" s="37"/>
      <c r="E18" s="37"/>
      <c r="F18" s="31"/>
      <c r="G18" s="37"/>
      <c r="H18" s="31"/>
    </row>
    <row r="19" spans="1:9" s="34" customFormat="1" ht="14" x14ac:dyDescent="0.2">
      <c r="A19" s="3" t="s">
        <v>506</v>
      </c>
      <c r="B19" s="36"/>
      <c r="C19" s="37"/>
      <c r="D19" s="37"/>
      <c r="E19" s="71"/>
      <c r="F19" s="31"/>
      <c r="G19" s="37"/>
      <c r="H19" s="31"/>
    </row>
    <row r="20" spans="1:9" x14ac:dyDescent="0.2">
      <c r="A20" s="32"/>
      <c r="B20" s="31"/>
      <c r="C20" s="32"/>
      <c r="D20" s="32"/>
      <c r="E20" s="32"/>
      <c r="F20" s="31"/>
      <c r="G20" s="32"/>
    </row>
    <row r="21" spans="1:9" s="34" customFormat="1" x14ac:dyDescent="0.2">
      <c r="A21" s="42" t="s">
        <v>290</v>
      </c>
      <c r="B21" s="39"/>
      <c r="C21" s="40"/>
      <c r="D21" s="40"/>
      <c r="E21" s="40"/>
      <c r="F21" s="40"/>
      <c r="G21" s="41"/>
      <c r="H21" s="39"/>
      <c r="I21" s="42"/>
    </row>
    <row r="23" spans="1:9" x14ac:dyDescent="0.2">
      <c r="A23" s="60" t="s">
        <v>127</v>
      </c>
      <c r="B23" s="141"/>
      <c r="F23" s="72" t="s">
        <v>163</v>
      </c>
      <c r="G23" s="117"/>
      <c r="H23" s="122"/>
    </row>
    <row r="24" spans="1:9" x14ac:dyDescent="0.2">
      <c r="A24" s="142" t="s">
        <v>18</v>
      </c>
      <c r="B24" s="143"/>
      <c r="F24" s="120" t="s">
        <v>517</v>
      </c>
      <c r="G24" s="97"/>
      <c r="H24" s="98"/>
    </row>
    <row r="25" spans="1:9" x14ac:dyDescent="0.2">
      <c r="A25" s="140" t="s">
        <v>19</v>
      </c>
      <c r="B25" s="143"/>
      <c r="F25" s="121" t="s">
        <v>518</v>
      </c>
      <c r="G25" s="99"/>
      <c r="H25" s="98"/>
    </row>
    <row r="26" spans="1:9" x14ac:dyDescent="0.2">
      <c r="A26" s="140"/>
      <c r="B26" s="143"/>
      <c r="C26" s="49"/>
      <c r="F26" s="121" t="s">
        <v>519</v>
      </c>
      <c r="G26" s="123"/>
      <c r="H26" s="98"/>
    </row>
    <row r="27" spans="1:9" x14ac:dyDescent="0.2">
      <c r="A27" s="81"/>
      <c r="B27" s="82"/>
      <c r="C27" s="49"/>
      <c r="F27" s="121" t="s">
        <v>520</v>
      </c>
      <c r="G27" s="123"/>
      <c r="H27" s="98"/>
    </row>
    <row r="28" spans="1:9" x14ac:dyDescent="0.2">
      <c r="A28" s="47" t="s">
        <v>128</v>
      </c>
      <c r="B28" s="50"/>
      <c r="F28" s="121" t="s">
        <v>521</v>
      </c>
      <c r="G28" s="123"/>
      <c r="H28" s="98"/>
    </row>
    <row r="29" spans="1:9" x14ac:dyDescent="0.2">
      <c r="A29" s="83" t="s">
        <v>166</v>
      </c>
      <c r="B29" s="43" t="s">
        <v>26</v>
      </c>
      <c r="F29" s="121" t="s">
        <v>522</v>
      </c>
      <c r="G29" s="123"/>
      <c r="H29" s="98"/>
    </row>
    <row r="30" spans="1:9" x14ac:dyDescent="0.2">
      <c r="A30" s="13" t="s">
        <v>165</v>
      </c>
      <c r="B30" s="43" t="s">
        <v>144</v>
      </c>
      <c r="C30" s="49"/>
      <c r="F30" s="121" t="s">
        <v>523</v>
      </c>
      <c r="G30" s="123"/>
      <c r="H30" s="98"/>
    </row>
    <row r="31" spans="1:9" x14ac:dyDescent="0.2">
      <c r="A31" s="13" t="s">
        <v>16</v>
      </c>
      <c r="B31" s="43" t="s">
        <v>10</v>
      </c>
      <c r="C31" s="49"/>
      <c r="F31" s="121" t="s">
        <v>532</v>
      </c>
      <c r="G31" s="123"/>
      <c r="H31" s="98"/>
    </row>
    <row r="32" spans="1:9" x14ac:dyDescent="0.2">
      <c r="A32" s="32"/>
      <c r="B32" s="48"/>
      <c r="C32" s="49"/>
      <c r="F32" s="121" t="s">
        <v>533</v>
      </c>
      <c r="G32" s="123"/>
      <c r="H32" s="98"/>
    </row>
    <row r="33" spans="1:8" x14ac:dyDescent="0.2">
      <c r="A33" s="47" t="s">
        <v>129</v>
      </c>
      <c r="B33" s="57" t="s">
        <v>11</v>
      </c>
      <c r="C33" s="58"/>
      <c r="F33" s="121" t="s">
        <v>524</v>
      </c>
      <c r="G33" s="123"/>
      <c r="H33" s="98"/>
    </row>
    <row r="34" spans="1:8" x14ac:dyDescent="0.2">
      <c r="A34" s="13" t="s">
        <v>221</v>
      </c>
      <c r="B34" s="93" t="s">
        <v>237</v>
      </c>
      <c r="C34" s="94"/>
      <c r="F34" s="121" t="s">
        <v>525</v>
      </c>
      <c r="G34" s="123"/>
      <c r="H34" s="98"/>
    </row>
    <row r="35" spans="1:8" x14ac:dyDescent="0.2">
      <c r="A35" s="13" t="s">
        <v>238</v>
      </c>
      <c r="B35" s="93" t="s">
        <v>12</v>
      </c>
      <c r="C35" s="45"/>
      <c r="F35" s="121" t="s">
        <v>526</v>
      </c>
      <c r="G35" s="123"/>
      <c r="H35" s="98"/>
    </row>
    <row r="36" spans="1:8" x14ac:dyDescent="0.2">
      <c r="A36" s="13" t="s">
        <v>225</v>
      </c>
      <c r="B36" s="93" t="s">
        <v>13</v>
      </c>
      <c r="C36" s="45"/>
      <c r="F36" s="121" t="s">
        <v>527</v>
      </c>
      <c r="G36" s="123"/>
      <c r="H36" s="98"/>
    </row>
    <row r="37" spans="1:8" x14ac:dyDescent="0.2">
      <c r="A37" s="13" t="s">
        <v>238</v>
      </c>
      <c r="B37" s="93" t="s">
        <v>14</v>
      </c>
      <c r="C37" s="45"/>
      <c r="F37" s="121" t="s">
        <v>523</v>
      </c>
      <c r="G37" s="123"/>
      <c r="H37" s="98"/>
    </row>
    <row r="38" spans="1:8" x14ac:dyDescent="0.2">
      <c r="A38" s="13" t="s">
        <v>225</v>
      </c>
      <c r="B38" s="93" t="s">
        <v>7</v>
      </c>
      <c r="C38" s="45"/>
      <c r="F38" s="121" t="s">
        <v>528</v>
      </c>
      <c r="G38" s="123"/>
      <c r="H38" s="98"/>
    </row>
    <row r="39" spans="1:8" x14ac:dyDescent="0.2">
      <c r="A39" s="93"/>
      <c r="B39" s="96"/>
      <c r="C39" s="96"/>
      <c r="F39" s="121" t="s">
        <v>529</v>
      </c>
      <c r="G39" s="123"/>
      <c r="H39" s="98"/>
    </row>
    <row r="40" spans="1:8" x14ac:dyDescent="0.2">
      <c r="A40" s="60" t="s">
        <v>130</v>
      </c>
      <c r="B40" s="61"/>
      <c r="C40" s="61"/>
      <c r="D40" s="58"/>
      <c r="F40" s="121" t="s">
        <v>524</v>
      </c>
      <c r="G40" s="123"/>
      <c r="H40" s="98"/>
    </row>
    <row r="41" spans="1:8" x14ac:dyDescent="0.2">
      <c r="A41" s="93" t="s">
        <v>15</v>
      </c>
      <c r="B41" s="96"/>
      <c r="C41" s="96"/>
      <c r="D41" s="45"/>
      <c r="F41" s="121" t="s">
        <v>530</v>
      </c>
      <c r="G41" s="123"/>
      <c r="H41" s="98"/>
    </row>
    <row r="42" spans="1:8" x14ac:dyDescent="0.2">
      <c r="A42" s="93" t="s">
        <v>17</v>
      </c>
      <c r="B42" s="96"/>
      <c r="C42" s="96"/>
      <c r="D42" s="45"/>
      <c r="F42" s="121" t="s">
        <v>531</v>
      </c>
      <c r="G42" s="123"/>
      <c r="H42" s="98"/>
    </row>
    <row r="43" spans="1:8" x14ac:dyDescent="0.2">
      <c r="A43" s="93"/>
      <c r="B43" s="96"/>
      <c r="C43" s="96"/>
      <c r="D43" s="45"/>
      <c r="F43" s="121"/>
      <c r="G43" s="123"/>
      <c r="H43" s="98"/>
    </row>
    <row r="44" spans="1:8" x14ac:dyDescent="0.2">
      <c r="A44" s="32"/>
      <c r="B44" s="56"/>
      <c r="C44" s="56"/>
      <c r="F44" s="124"/>
      <c r="G44" s="125"/>
    </row>
    <row r="45" spans="1:8" x14ac:dyDescent="0.2">
      <c r="A45" s="47" t="s">
        <v>131</v>
      </c>
      <c r="B45" s="52"/>
      <c r="C45" s="48"/>
      <c r="F45" s="124"/>
      <c r="G45" s="125"/>
    </row>
    <row r="46" spans="1:8" x14ac:dyDescent="0.2">
      <c r="A46" s="17" t="s">
        <v>73</v>
      </c>
      <c r="B46" s="13" t="s">
        <v>9</v>
      </c>
      <c r="F46" s="126"/>
      <c r="G46" s="127"/>
    </row>
  </sheetData>
  <mergeCells count="3">
    <mergeCell ref="C2:D2"/>
    <mergeCell ref="E2:F2"/>
    <mergeCell ref="G2:H2"/>
  </mergeCells>
  <phoneticPr fontId="5"/>
  <pageMargins left="0.2" right="0.2" top="0.98399999999999999" bottom="0.98399999999999999" header="0.51200000000000001" footer="0.51200000000000001"/>
  <pageSetup paperSize="9" scale="62" orientation="portrait" verticalDpi="300" r:id="rId1"/>
  <headerFooter alignWithMargins="0"/>
  <colBreaks count="1" manualBreakCount="1">
    <brk id="8" max="4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1655-E062-4933-B2ED-49ED828C1445}">
  <sheetPr codeName="Sheet34"/>
  <dimension ref="A1:J37"/>
  <sheetViews>
    <sheetView view="pageBreakPreview" zoomScale="85" zoomScaleNormal="85" zoomScaleSheetLayoutView="100" workbookViewId="0">
      <pane ySplit="2" topLeftCell="A3" activePane="bottomLeft" state="frozen"/>
      <selection activeCell="B17" sqref="B17"/>
      <selection pane="bottomLeft" activeCell="A3" sqref="A3"/>
    </sheetView>
  </sheetViews>
  <sheetFormatPr defaultColWidth="9" defaultRowHeight="13" x14ac:dyDescent="0.2"/>
  <cols>
    <col min="1" max="1" width="23.36328125" style="2" customWidth="1"/>
    <col min="2" max="2" width="21.36328125" style="2" customWidth="1"/>
    <col min="3" max="3" width="13.90625" style="2" customWidth="1"/>
    <col min="4" max="4" width="11.7265625" style="2" customWidth="1"/>
    <col min="5" max="5" width="18" style="2" customWidth="1"/>
    <col min="6" max="6" width="13.453125" style="2" customWidth="1"/>
    <col min="7" max="7" width="53.08984375" style="2" customWidth="1"/>
    <col min="8" max="8" width="17.7265625" style="2" customWidth="1"/>
    <col min="9" max="16384" width="9" style="2"/>
  </cols>
  <sheetData>
    <row r="1" spans="1:10" s="25" customFormat="1" ht="30" customHeight="1" thickBot="1" x14ac:dyDescent="0.25">
      <c r="A1" s="22"/>
    </row>
    <row r="2" spans="1:10" s="26" customFormat="1" ht="24" customHeight="1" x14ac:dyDescent="0.25">
      <c r="A2" s="23" t="s">
        <v>122</v>
      </c>
      <c r="C2" s="242" t="str">
        <f>'設定＆実行'!C2:D2</f>
        <v>管理番号：DN-030103-019.01
分類　　　：開発標準化</v>
      </c>
      <c r="D2" s="242"/>
      <c r="E2" s="242" t="str">
        <f>'設定＆実行'!F2</f>
        <v>更新者：
更新日：</v>
      </c>
      <c r="F2" s="242"/>
      <c r="G2" s="243" t="str">
        <f>'設定＆実行'!H2</f>
        <v>作成者：ASPAC 衣川
作成日：2006/12/19</v>
      </c>
      <c r="H2" s="243"/>
      <c r="I2" s="24"/>
      <c r="J2" s="24"/>
    </row>
    <row r="3" spans="1:10" ht="25.5" customHeight="1" x14ac:dyDescent="0.35">
      <c r="A3" s="1" t="s">
        <v>327</v>
      </c>
    </row>
    <row r="5" spans="1:10" ht="14.25" customHeight="1" x14ac:dyDescent="0.2">
      <c r="A5" s="9" t="s">
        <v>341</v>
      </c>
      <c r="B5" s="14"/>
    </row>
    <row r="7" spans="1:10" x14ac:dyDescent="0.2">
      <c r="A7" s="2" t="s">
        <v>342</v>
      </c>
    </row>
    <row r="9" spans="1:10" ht="14.25" customHeight="1" x14ac:dyDescent="0.2">
      <c r="A9" s="3" t="s">
        <v>329</v>
      </c>
    </row>
    <row r="10" spans="1:10" x14ac:dyDescent="0.2">
      <c r="A10" s="10"/>
    </row>
    <row r="11" spans="1:10" x14ac:dyDescent="0.2">
      <c r="A11" s="15" t="s">
        <v>318</v>
      </c>
      <c r="B11" s="16" t="s">
        <v>62</v>
      </c>
      <c r="C11" s="16" t="s">
        <v>63</v>
      </c>
      <c r="D11" s="16" t="s">
        <v>64</v>
      </c>
      <c r="E11" s="16" t="s">
        <v>65</v>
      </c>
      <c r="F11" s="16" t="s">
        <v>124</v>
      </c>
      <c r="G11" s="16" t="s">
        <v>66</v>
      </c>
    </row>
    <row r="12" spans="1:10" x14ac:dyDescent="0.2">
      <c r="A12" s="11" t="str">
        <f>IF(ISERROR(FIND("_",E12)),LOWER(E12),CONCATENATE(LOWER(LEFT(E12,(FIND("_",E12))-1)),SUBSTITUTE(PROPER(LOWER(RIGHT(E12,LEN(E12)-FIND("_",E12)))),"_","")))</f>
        <v>companyCd</v>
      </c>
      <c r="B12" s="18" t="s">
        <v>199</v>
      </c>
      <c r="C12" s="79" t="s">
        <v>319</v>
      </c>
      <c r="D12" s="12" t="s">
        <v>320</v>
      </c>
      <c r="E12" s="20" t="s">
        <v>196</v>
      </c>
      <c r="F12" s="46" t="s">
        <v>338</v>
      </c>
      <c r="G12" s="18"/>
    </row>
    <row r="13" spans="1:10" x14ac:dyDescent="0.2">
      <c r="A13" s="11" t="str">
        <f>IF(ISERROR(FIND("_",E13)),LOWER(E13),CONCATENATE(LOWER(LEFT(E13,(FIND("_",E13))-1)),SUBSTITUTE(PROPER(LOWER(RIGHT(E13,LEN(E13)-FIND("_",E13)))),"_","")))</f>
        <v>svCd</v>
      </c>
      <c r="B13" s="18" t="s">
        <v>73</v>
      </c>
      <c r="C13" s="79" t="s">
        <v>321</v>
      </c>
      <c r="D13" s="12" t="s">
        <v>322</v>
      </c>
      <c r="E13" s="20" t="s">
        <v>324</v>
      </c>
      <c r="F13" s="46" t="s">
        <v>338</v>
      </c>
      <c r="G13" s="18"/>
    </row>
    <row r="14" spans="1:10" x14ac:dyDescent="0.2">
      <c r="A14" s="11" t="str">
        <f>IF(ISERROR(FIND("_",E14)),LOWER(E14),CONCATENATE(LOWER(LEFT(E14,(FIND("_",E14))-1)),SUBSTITUTE(PROPER(LOWER(RIGHT(E14,LEN(E14)-FIND("_",E14)))),"_","")))</f>
        <v>svNameKj</v>
      </c>
      <c r="B14" s="18" t="s">
        <v>74</v>
      </c>
      <c r="C14" s="79" t="s">
        <v>323</v>
      </c>
      <c r="D14" s="12" t="s">
        <v>33</v>
      </c>
      <c r="E14" s="20" t="s">
        <v>325</v>
      </c>
      <c r="F14" s="46" t="s">
        <v>338</v>
      </c>
      <c r="G14" s="18"/>
    </row>
    <row r="15" spans="1:10" x14ac:dyDescent="0.2">
      <c r="A15" s="11" t="str">
        <f>IF(ISERROR(FIND("_",E15)),LOWER(E15),CONCATENATE(LOWER(LEFT(E15,(FIND("_",E15))-1)),SUBSTITUTE(PROPER(LOWER(RIGHT(E15,LEN(E15)-FIND("_",E15)))),"_","")))</f>
        <v>svNameKna</v>
      </c>
      <c r="B15" s="18" t="s">
        <v>74</v>
      </c>
      <c r="C15" s="79" t="s">
        <v>323</v>
      </c>
      <c r="D15" s="12" t="s">
        <v>33</v>
      </c>
      <c r="E15" s="20" t="s">
        <v>326</v>
      </c>
      <c r="F15" s="46" t="s">
        <v>338</v>
      </c>
      <c r="G15" s="18"/>
    </row>
    <row r="16" spans="1:10" x14ac:dyDescent="0.2">
      <c r="A16" s="32"/>
      <c r="B16" s="31"/>
      <c r="C16" s="32"/>
      <c r="D16" s="32"/>
      <c r="E16" s="33"/>
      <c r="F16" s="31"/>
      <c r="G16" s="31"/>
    </row>
    <row r="18" spans="1:9" s="34" customFormat="1" ht="25.5" x14ac:dyDescent="0.35">
      <c r="A18" s="30" t="s">
        <v>123</v>
      </c>
      <c r="B18" s="31"/>
      <c r="C18" s="32"/>
      <c r="D18" s="32"/>
      <c r="E18" s="32"/>
      <c r="F18" s="70"/>
      <c r="G18" s="32"/>
      <c r="H18" s="31"/>
    </row>
    <row r="19" spans="1:9" s="34" customFormat="1" ht="19" x14ac:dyDescent="0.3">
      <c r="A19" s="35" t="s">
        <v>328</v>
      </c>
      <c r="B19" s="36"/>
      <c r="C19" s="37"/>
      <c r="D19" s="37"/>
      <c r="E19" s="37"/>
      <c r="F19" s="31"/>
      <c r="G19" s="37"/>
      <c r="H19" s="31"/>
    </row>
    <row r="20" spans="1:9" s="34" customFormat="1" ht="14" x14ac:dyDescent="0.2">
      <c r="A20" s="3" t="s">
        <v>330</v>
      </c>
      <c r="B20" s="36"/>
      <c r="C20" s="37"/>
      <c r="D20" s="37"/>
      <c r="E20" s="71"/>
      <c r="F20" s="31"/>
      <c r="G20" s="37"/>
      <c r="H20" s="31"/>
    </row>
    <row r="21" spans="1:9" x14ac:dyDescent="0.2">
      <c r="A21" s="32"/>
      <c r="B21" s="31"/>
      <c r="C21" s="32"/>
      <c r="D21" s="32"/>
      <c r="E21" s="32"/>
      <c r="F21" s="31"/>
      <c r="G21" s="32"/>
    </row>
    <row r="22" spans="1:9" s="34" customFormat="1" x14ac:dyDescent="0.2">
      <c r="A22" s="42" t="s">
        <v>313</v>
      </c>
      <c r="B22" s="39"/>
      <c r="C22" s="40"/>
      <c r="D22" s="40"/>
      <c r="E22" s="40"/>
      <c r="F22" s="40"/>
      <c r="G22" s="41"/>
      <c r="H22" s="39"/>
      <c r="I22" s="42"/>
    </row>
    <row r="24" spans="1:9" x14ac:dyDescent="0.2">
      <c r="A24" s="60" t="s">
        <v>127</v>
      </c>
      <c r="B24" s="141"/>
      <c r="F24" s="72" t="s">
        <v>163</v>
      </c>
      <c r="G24" s="117"/>
      <c r="H24" s="122"/>
    </row>
    <row r="25" spans="1:9" x14ac:dyDescent="0.2">
      <c r="A25" s="142" t="s">
        <v>331</v>
      </c>
      <c r="B25" s="143"/>
      <c r="F25" s="64" t="s">
        <v>332</v>
      </c>
      <c r="G25" s="97"/>
      <c r="H25" s="98"/>
    </row>
    <row r="26" spans="1:9" x14ac:dyDescent="0.2">
      <c r="A26" s="140"/>
      <c r="B26" s="143"/>
      <c r="F26" s="64" t="s">
        <v>333</v>
      </c>
      <c r="G26" s="99"/>
      <c r="H26" s="98"/>
    </row>
    <row r="27" spans="1:9" x14ac:dyDescent="0.2">
      <c r="A27" s="140"/>
      <c r="B27" s="143"/>
      <c r="C27" s="49"/>
      <c r="F27" s="64" t="s">
        <v>334</v>
      </c>
      <c r="G27" s="123"/>
      <c r="H27" s="98"/>
    </row>
    <row r="28" spans="1:9" x14ac:dyDescent="0.2">
      <c r="A28" s="81"/>
      <c r="B28" s="82"/>
      <c r="C28" s="49"/>
      <c r="F28" s="64" t="s">
        <v>335</v>
      </c>
      <c r="G28" s="123"/>
      <c r="H28" s="98"/>
    </row>
    <row r="29" spans="1:9" x14ac:dyDescent="0.2">
      <c r="A29" s="47" t="s">
        <v>128</v>
      </c>
      <c r="B29" s="50"/>
      <c r="F29" s="64"/>
      <c r="G29" s="123"/>
      <c r="H29" s="98"/>
    </row>
    <row r="30" spans="1:9" x14ac:dyDescent="0.2">
      <c r="A30" s="13" t="s">
        <v>339</v>
      </c>
      <c r="B30" s="43" t="s">
        <v>338</v>
      </c>
      <c r="C30" s="49"/>
      <c r="F30" s="64" t="s">
        <v>337</v>
      </c>
      <c r="G30" s="99"/>
      <c r="H30" s="98"/>
    </row>
    <row r="31" spans="1:9" x14ac:dyDescent="0.2">
      <c r="A31" s="93"/>
      <c r="B31" s="96"/>
      <c r="C31" s="55"/>
      <c r="F31" s="64"/>
      <c r="G31" s="123"/>
      <c r="H31" s="98"/>
    </row>
    <row r="32" spans="1:9" x14ac:dyDescent="0.2">
      <c r="A32" s="60" t="s">
        <v>130</v>
      </c>
      <c r="B32" s="61"/>
      <c r="C32" s="61"/>
      <c r="D32" s="58"/>
      <c r="F32" s="64" t="s">
        <v>336</v>
      </c>
      <c r="G32" s="123"/>
      <c r="H32" s="98"/>
    </row>
    <row r="33" spans="1:8" x14ac:dyDescent="0.2">
      <c r="A33" s="93" t="s">
        <v>340</v>
      </c>
      <c r="B33" s="96"/>
      <c r="C33" s="96"/>
      <c r="D33" s="45"/>
      <c r="F33" s="64"/>
      <c r="G33" s="123"/>
      <c r="H33" s="98"/>
    </row>
    <row r="34" spans="1:8" x14ac:dyDescent="0.2">
      <c r="A34" s="93"/>
      <c r="B34" s="96"/>
      <c r="C34" s="96"/>
      <c r="D34" s="45"/>
      <c r="F34" s="121"/>
      <c r="G34" s="123"/>
      <c r="H34" s="98"/>
    </row>
    <row r="35" spans="1:8" x14ac:dyDescent="0.2">
      <c r="A35" s="32"/>
      <c r="B35" s="56"/>
      <c r="C35" s="56"/>
      <c r="F35" s="124"/>
      <c r="G35" s="125"/>
    </row>
    <row r="36" spans="1:8" x14ac:dyDescent="0.2">
      <c r="A36" s="47" t="s">
        <v>131</v>
      </c>
      <c r="B36" s="52"/>
      <c r="C36" s="48"/>
      <c r="F36" s="124"/>
      <c r="G36" s="125"/>
    </row>
    <row r="37" spans="1:8" x14ac:dyDescent="0.2">
      <c r="A37" s="17" t="s">
        <v>73</v>
      </c>
      <c r="B37" s="13" t="s">
        <v>9</v>
      </c>
      <c r="F37" s="126"/>
      <c r="G37" s="127"/>
    </row>
  </sheetData>
  <mergeCells count="3">
    <mergeCell ref="C2:D2"/>
    <mergeCell ref="E2:F2"/>
    <mergeCell ref="G2:H2"/>
  </mergeCells>
  <phoneticPr fontId="5"/>
  <pageMargins left="0.2" right="0.2" top="0.98399999999999999" bottom="0.98399999999999999" header="0.51200000000000001" footer="0.51200000000000001"/>
  <pageSetup paperSize="9" scale="62" orientation="portrait" verticalDpi="300" r:id="rId1"/>
  <headerFooter alignWithMargins="0"/>
  <colBreaks count="1" manualBreakCount="1">
    <brk id="8" max="4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3B40-14CF-4C30-B79D-01A4E1369294}">
  <sheetPr codeName="Sheet32"/>
  <dimension ref="A1:J153"/>
  <sheetViews>
    <sheetView view="pageBreakPreview" zoomScale="85" zoomScaleNormal="85" zoomScaleSheetLayoutView="100" workbookViewId="0">
      <pane ySplit="2" topLeftCell="A3" activePane="bottomLeft" state="frozen"/>
      <selection activeCell="B17" sqref="B17"/>
      <selection pane="bottomLeft" activeCell="A3" sqref="A3"/>
    </sheetView>
  </sheetViews>
  <sheetFormatPr defaultColWidth="9" defaultRowHeight="13" x14ac:dyDescent="0.2"/>
  <cols>
    <col min="1" max="1" width="23.7265625" style="2" customWidth="1"/>
    <col min="2" max="2" width="21.36328125" style="2" customWidth="1"/>
    <col min="3" max="3" width="13.90625" style="2" customWidth="1"/>
    <col min="4" max="4" width="11.7265625" style="2" customWidth="1"/>
    <col min="5" max="5" width="18" style="2" customWidth="1"/>
    <col min="6" max="6" width="13.453125" style="2" customWidth="1"/>
    <col min="7" max="7" width="58.26953125" style="2" customWidth="1"/>
    <col min="8" max="8" width="17.7265625" style="2" customWidth="1"/>
    <col min="9" max="16384" width="9" style="2"/>
  </cols>
  <sheetData>
    <row r="1" spans="1:10" s="25" customFormat="1" ht="30" customHeight="1" thickBot="1" x14ac:dyDescent="0.25">
      <c r="A1" s="22"/>
    </row>
    <row r="2" spans="1:10" s="26" customFormat="1" ht="24" customHeight="1" x14ac:dyDescent="0.25">
      <c r="A2" s="23" t="s">
        <v>122</v>
      </c>
      <c r="C2" s="242" t="str">
        <f>'設定＆実行'!C2:D2</f>
        <v>管理番号：DN-030103-019.01
分類　　　：開発標準化</v>
      </c>
      <c r="D2" s="242"/>
      <c r="E2" s="242" t="str">
        <f>'設定＆実行'!F2</f>
        <v>更新者：
更新日：</v>
      </c>
      <c r="F2" s="242"/>
      <c r="G2" s="243" t="str">
        <f>'設定＆実行'!H2</f>
        <v>作成者：ASPAC 衣川
作成日：2006/12/19</v>
      </c>
      <c r="H2" s="243"/>
      <c r="I2" s="24"/>
      <c r="J2" s="24"/>
    </row>
    <row r="3" spans="1:10" ht="25.5" customHeight="1" x14ac:dyDescent="0.35">
      <c r="A3" s="1" t="s">
        <v>588</v>
      </c>
    </row>
    <row r="5" spans="1:10" ht="14.25" customHeight="1" x14ac:dyDescent="0.2">
      <c r="A5" s="9" t="s">
        <v>249</v>
      </c>
      <c r="B5" s="14"/>
    </row>
    <row r="7" spans="1:10" x14ac:dyDescent="0.2">
      <c r="A7" s="2" t="s">
        <v>407</v>
      </c>
    </row>
    <row r="9" spans="1:10" ht="14.25" customHeight="1" x14ac:dyDescent="0.2">
      <c r="A9" s="3" t="s">
        <v>315</v>
      </c>
    </row>
    <row r="10" spans="1:10" x14ac:dyDescent="0.2">
      <c r="A10" s="10"/>
    </row>
    <row r="11" spans="1:10" x14ac:dyDescent="0.2">
      <c r="A11" s="15" t="s">
        <v>152</v>
      </c>
      <c r="B11" s="16" t="s">
        <v>62</v>
      </c>
      <c r="C11" s="16" t="s">
        <v>63</v>
      </c>
      <c r="D11" s="16" t="s">
        <v>64</v>
      </c>
      <c r="E11" s="16" t="s">
        <v>65</v>
      </c>
      <c r="F11" s="16" t="s">
        <v>124</v>
      </c>
      <c r="G11" s="16" t="s">
        <v>66</v>
      </c>
    </row>
    <row r="12" spans="1:10" x14ac:dyDescent="0.2">
      <c r="A12" s="11" t="str">
        <f t="shared" ref="A12:A17" si="0">IF(ISERROR(FIND("_",E12)),LOWER(E12),CONCATENATE(LOWER(LEFT(E12,(FIND("_",E12))-1)),SUBSTITUTE(PROPER(LOWER(RIGHT(E12,LEN(E12)-FIND("_",E12)))),"_","")))</f>
        <v>onerTotalCnt</v>
      </c>
      <c r="B12" s="18" t="s">
        <v>220</v>
      </c>
      <c r="C12" s="79" t="s">
        <v>217</v>
      </c>
      <c r="D12" s="12" t="s">
        <v>216</v>
      </c>
      <c r="E12" s="20" t="s">
        <v>219</v>
      </c>
      <c r="F12" s="89" t="s">
        <v>211</v>
      </c>
      <c r="G12" s="18"/>
    </row>
    <row r="13" spans="1:10" x14ac:dyDescent="0.2">
      <c r="A13" s="11" t="str">
        <f t="shared" si="0"/>
        <v>onerAttendCnt</v>
      </c>
      <c r="B13" s="18" t="s">
        <v>408</v>
      </c>
      <c r="C13" s="79" t="s">
        <v>217</v>
      </c>
      <c r="D13" s="12" t="s">
        <v>216</v>
      </c>
      <c r="E13" s="20" t="s">
        <v>213</v>
      </c>
      <c r="F13" s="89" t="s">
        <v>211</v>
      </c>
      <c r="G13" s="18"/>
    </row>
    <row r="14" spans="1:10" x14ac:dyDescent="0.2">
      <c r="A14" s="11" t="str">
        <f t="shared" si="0"/>
        <v>onerAbsentCnt</v>
      </c>
      <c r="B14" s="18" t="s">
        <v>409</v>
      </c>
      <c r="C14" s="79" t="s">
        <v>217</v>
      </c>
      <c r="D14" s="12" t="s">
        <v>216</v>
      </c>
      <c r="E14" s="20" t="s">
        <v>214</v>
      </c>
      <c r="F14" s="89" t="s">
        <v>211</v>
      </c>
      <c r="G14" s="18"/>
    </row>
    <row r="15" spans="1:10" x14ac:dyDescent="0.2">
      <c r="A15" s="11" t="str">
        <f t="shared" si="0"/>
        <v>onerNoregistCnt</v>
      </c>
      <c r="B15" s="18" t="s">
        <v>212</v>
      </c>
      <c r="C15" s="79" t="s">
        <v>217</v>
      </c>
      <c r="D15" s="12" t="s">
        <v>216</v>
      </c>
      <c r="E15" s="20" t="s">
        <v>215</v>
      </c>
      <c r="F15" s="89" t="s">
        <v>211</v>
      </c>
      <c r="G15" s="18"/>
    </row>
    <row r="16" spans="1:10" x14ac:dyDescent="0.2">
      <c r="A16" s="11" t="str">
        <f t="shared" si="0"/>
        <v>attendCnt</v>
      </c>
      <c r="B16" s="18" t="s">
        <v>594</v>
      </c>
      <c r="C16" s="79" t="s">
        <v>217</v>
      </c>
      <c r="D16" s="12" t="s">
        <v>218</v>
      </c>
      <c r="E16" s="20" t="s">
        <v>209</v>
      </c>
      <c r="F16" s="89" t="s">
        <v>211</v>
      </c>
      <c r="G16" s="18"/>
    </row>
    <row r="17" spans="1:9" x14ac:dyDescent="0.2">
      <c r="A17" s="11" t="str">
        <f t="shared" si="0"/>
        <v>absentCnt</v>
      </c>
      <c r="B17" s="18" t="s">
        <v>410</v>
      </c>
      <c r="C17" s="79" t="s">
        <v>217</v>
      </c>
      <c r="D17" s="12" t="s">
        <v>218</v>
      </c>
      <c r="E17" s="20" t="s">
        <v>210</v>
      </c>
      <c r="F17" s="89" t="s">
        <v>211</v>
      </c>
      <c r="G17" s="18"/>
    </row>
    <row r="19" spans="1:9" s="34" customFormat="1" ht="25.5" x14ac:dyDescent="0.35">
      <c r="A19" s="30" t="s">
        <v>123</v>
      </c>
      <c r="B19" s="31"/>
      <c r="C19" s="32"/>
      <c r="D19" s="32"/>
      <c r="E19" s="32"/>
      <c r="F19" s="70"/>
      <c r="G19" s="32"/>
      <c r="H19" s="31"/>
    </row>
    <row r="20" spans="1:9" s="34" customFormat="1" ht="19" x14ac:dyDescent="0.3">
      <c r="A20" s="35" t="s">
        <v>589</v>
      </c>
      <c r="B20" s="36"/>
      <c r="C20" s="37"/>
      <c r="D20" s="37"/>
      <c r="E20" s="37"/>
      <c r="F20" s="31"/>
      <c r="G20" s="37"/>
      <c r="H20" s="31"/>
    </row>
    <row r="21" spans="1:9" s="34" customFormat="1" ht="14" x14ac:dyDescent="0.2">
      <c r="A21" s="3" t="s">
        <v>634</v>
      </c>
      <c r="B21" s="36"/>
      <c r="C21" s="37"/>
      <c r="D21" s="37"/>
      <c r="E21" s="71"/>
      <c r="F21" s="31"/>
      <c r="G21" s="37"/>
      <c r="H21" s="31"/>
    </row>
    <row r="22" spans="1:9" x14ac:dyDescent="0.2">
      <c r="A22" s="32"/>
      <c r="B22" s="31"/>
      <c r="C22" s="32"/>
      <c r="D22" s="32"/>
      <c r="E22" s="32"/>
      <c r="F22" s="31"/>
      <c r="G22" s="32"/>
    </row>
    <row r="23" spans="1:9" s="34" customFormat="1" x14ac:dyDescent="0.2">
      <c r="A23" s="42" t="s">
        <v>406</v>
      </c>
      <c r="B23" s="39"/>
      <c r="C23" s="40"/>
      <c r="D23" s="40"/>
      <c r="E23" s="40"/>
      <c r="F23" s="40"/>
      <c r="G23" s="41"/>
      <c r="H23" s="39"/>
      <c r="I23" s="42"/>
    </row>
    <row r="25" spans="1:9" x14ac:dyDescent="0.2">
      <c r="A25" s="60" t="s">
        <v>127</v>
      </c>
      <c r="B25" s="141"/>
      <c r="E25" s="72" t="s">
        <v>163</v>
      </c>
      <c r="F25" s="73"/>
      <c r="G25" s="73"/>
      <c r="H25" s="51"/>
    </row>
    <row r="26" spans="1:9" ht="13.5" customHeight="1" x14ac:dyDescent="0.2">
      <c r="A26" s="139" t="s">
        <v>161</v>
      </c>
      <c r="B26" s="138"/>
      <c r="E26" s="120" t="s">
        <v>438</v>
      </c>
      <c r="F26" s="102"/>
      <c r="G26" s="97"/>
      <c r="H26" s="112"/>
    </row>
    <row r="27" spans="1:9" x14ac:dyDescent="0.2">
      <c r="A27" s="139" t="s">
        <v>182</v>
      </c>
      <c r="B27" s="138"/>
      <c r="E27" s="121" t="s">
        <v>439</v>
      </c>
      <c r="F27" s="98"/>
      <c r="G27" s="99"/>
      <c r="H27" s="112"/>
    </row>
    <row r="28" spans="1:9" x14ac:dyDescent="0.2">
      <c r="A28" s="139" t="s">
        <v>183</v>
      </c>
      <c r="B28" s="138"/>
      <c r="E28" s="121" t="s">
        <v>440</v>
      </c>
      <c r="F28" s="98"/>
      <c r="G28" s="99"/>
      <c r="H28" s="112"/>
    </row>
    <row r="29" spans="1:9" x14ac:dyDescent="0.2">
      <c r="A29" s="93" t="s">
        <v>134</v>
      </c>
      <c r="B29" s="138"/>
      <c r="E29" s="121" t="s">
        <v>441</v>
      </c>
      <c r="F29" s="98"/>
      <c r="G29" s="99"/>
      <c r="H29" s="112"/>
    </row>
    <row r="30" spans="1:9" x14ac:dyDescent="0.2">
      <c r="A30" s="93" t="s">
        <v>199</v>
      </c>
      <c r="B30" s="138"/>
      <c r="E30" s="121" t="s">
        <v>442</v>
      </c>
      <c r="F30" s="98"/>
      <c r="G30" s="99"/>
      <c r="H30" s="112"/>
    </row>
    <row r="31" spans="1:9" x14ac:dyDescent="0.2">
      <c r="A31" s="93"/>
      <c r="B31" s="138"/>
      <c r="C31" s="49"/>
      <c r="E31" s="121"/>
      <c r="F31" s="98"/>
      <c r="G31" s="99"/>
      <c r="H31" s="112"/>
    </row>
    <row r="32" spans="1:9" x14ac:dyDescent="0.2">
      <c r="A32" s="145"/>
      <c r="B32" s="91"/>
      <c r="C32" s="49"/>
      <c r="E32" s="121" t="s">
        <v>545</v>
      </c>
      <c r="F32" s="98"/>
      <c r="G32" s="99"/>
      <c r="H32" s="112"/>
    </row>
    <row r="33" spans="1:8" s="34" customFormat="1" x14ac:dyDescent="0.2">
      <c r="A33" s="47" t="s">
        <v>128</v>
      </c>
      <c r="B33" s="50"/>
      <c r="C33" s="2"/>
      <c r="D33" s="2"/>
      <c r="E33" s="121" t="s">
        <v>343</v>
      </c>
      <c r="F33" s="98"/>
      <c r="G33" s="99"/>
    </row>
    <row r="34" spans="1:8" x14ac:dyDescent="0.2">
      <c r="A34" s="13" t="s">
        <v>300</v>
      </c>
      <c r="B34" s="43" t="s">
        <v>144</v>
      </c>
      <c r="C34" s="75"/>
      <c r="E34" s="121" t="s">
        <v>344</v>
      </c>
      <c r="F34" s="98"/>
      <c r="G34" s="99"/>
    </row>
    <row r="35" spans="1:8" s="34" customFormat="1" x14ac:dyDescent="0.2">
      <c r="A35" s="13" t="s">
        <v>236</v>
      </c>
      <c r="B35" s="43" t="s">
        <v>138</v>
      </c>
      <c r="C35" s="49"/>
      <c r="D35" s="2"/>
      <c r="E35" s="121" t="s">
        <v>345</v>
      </c>
      <c r="F35" s="98"/>
      <c r="G35" s="99"/>
    </row>
    <row r="36" spans="1:8" s="34" customFormat="1" x14ac:dyDescent="0.2">
      <c r="A36" s="13" t="s">
        <v>159</v>
      </c>
      <c r="B36" s="43" t="s">
        <v>153</v>
      </c>
      <c r="C36" s="49"/>
      <c r="D36" s="51"/>
      <c r="E36" s="121" t="s">
        <v>346</v>
      </c>
      <c r="F36" s="98"/>
      <c r="G36" s="99"/>
    </row>
    <row r="37" spans="1:8" s="34" customFormat="1" x14ac:dyDescent="0.2">
      <c r="A37" s="13" t="s">
        <v>140</v>
      </c>
      <c r="B37" s="43" t="s">
        <v>229</v>
      </c>
      <c r="C37" s="49"/>
      <c r="D37" s="51"/>
      <c r="E37" s="121" t="s">
        <v>347</v>
      </c>
      <c r="F37" s="98"/>
      <c r="G37" s="99"/>
    </row>
    <row r="38" spans="1:8" ht="14.25" customHeight="1" x14ac:dyDescent="0.2">
      <c r="A38" s="59" t="s">
        <v>248</v>
      </c>
      <c r="B38" s="43" t="s">
        <v>249</v>
      </c>
      <c r="C38" s="49"/>
      <c r="D38" s="51"/>
      <c r="E38" s="121" t="s">
        <v>348</v>
      </c>
      <c r="F38" s="98"/>
      <c r="G38" s="99"/>
      <c r="H38" s="112"/>
    </row>
    <row r="39" spans="1:8" x14ac:dyDescent="0.2">
      <c r="A39" s="59" t="s">
        <v>424</v>
      </c>
      <c r="B39" s="43" t="s">
        <v>598</v>
      </c>
      <c r="C39" s="49"/>
      <c r="D39" s="51"/>
      <c r="E39" s="121" t="s">
        <v>349</v>
      </c>
      <c r="F39" s="98"/>
      <c r="G39" s="99"/>
      <c r="H39" s="90"/>
    </row>
    <row r="40" spans="1:8" x14ac:dyDescent="0.2">
      <c r="A40"/>
      <c r="B40"/>
      <c r="C40"/>
      <c r="D40"/>
      <c r="E40" s="121" t="s">
        <v>350</v>
      </c>
      <c r="F40" s="98"/>
      <c r="G40" s="99"/>
      <c r="H40" s="90"/>
    </row>
    <row r="41" spans="1:8" x14ac:dyDescent="0.2">
      <c r="A41" s="47" t="s">
        <v>129</v>
      </c>
      <c r="B41" s="57" t="s">
        <v>2</v>
      </c>
      <c r="C41" s="58"/>
      <c r="D41"/>
      <c r="E41" s="121" t="s">
        <v>351</v>
      </c>
      <c r="F41" s="98"/>
      <c r="G41" s="99"/>
      <c r="H41" s="90"/>
    </row>
    <row r="42" spans="1:8" x14ac:dyDescent="0.2">
      <c r="A42" s="13" t="s">
        <v>221</v>
      </c>
      <c r="B42" s="93" t="s">
        <v>222</v>
      </c>
      <c r="C42" s="94"/>
      <c r="D42"/>
      <c r="E42" s="121" t="s">
        <v>443</v>
      </c>
      <c r="F42" s="98"/>
      <c r="G42" s="99"/>
      <c r="H42" s="90"/>
    </row>
    <row r="43" spans="1:8" x14ac:dyDescent="0.2">
      <c r="A43" s="13" t="s">
        <v>223</v>
      </c>
      <c r="B43" s="93" t="s">
        <v>240</v>
      </c>
      <c r="C43" s="45"/>
      <c r="D43"/>
      <c r="E43" s="121" t="s">
        <v>444</v>
      </c>
      <c r="F43" s="98"/>
      <c r="G43" s="99"/>
      <c r="H43" s="90"/>
    </row>
    <row r="44" spans="1:8" x14ac:dyDescent="0.2">
      <c r="A44" s="13" t="s">
        <v>225</v>
      </c>
      <c r="B44" s="93" t="s">
        <v>239</v>
      </c>
      <c r="C44" s="45"/>
      <c r="D44"/>
      <c r="E44" s="121" t="s">
        <v>405</v>
      </c>
      <c r="F44" s="98"/>
      <c r="G44" s="99"/>
      <c r="H44" s="90"/>
    </row>
    <row r="45" spans="1:8" x14ac:dyDescent="0.2">
      <c r="A45" s="13" t="s">
        <v>223</v>
      </c>
      <c r="B45" s="93" t="s">
        <v>0</v>
      </c>
      <c r="C45" s="45"/>
      <c r="D45"/>
      <c r="E45" s="121" t="s">
        <v>445</v>
      </c>
      <c r="F45" s="98"/>
      <c r="G45" s="99"/>
      <c r="H45" s="90"/>
    </row>
    <row r="46" spans="1:8" x14ac:dyDescent="0.2">
      <c r="A46" s="13" t="s">
        <v>228</v>
      </c>
      <c r="B46" s="93" t="s">
        <v>1</v>
      </c>
      <c r="C46" s="45"/>
      <c r="D46"/>
      <c r="E46" s="121" t="s">
        <v>446</v>
      </c>
      <c r="F46" s="98"/>
      <c r="G46" s="99"/>
      <c r="H46" s="90"/>
    </row>
    <row r="47" spans="1:8" x14ac:dyDescent="0.2">
      <c r="A47" s="93"/>
      <c r="B47" s="96"/>
      <c r="C47" s="45"/>
      <c r="D47"/>
      <c r="E47" s="121" t="s">
        <v>447</v>
      </c>
      <c r="F47" s="98"/>
      <c r="G47" s="99"/>
      <c r="H47" s="90"/>
    </row>
    <row r="48" spans="1:8" x14ac:dyDescent="0.2">
      <c r="A48" s="47" t="s">
        <v>129</v>
      </c>
      <c r="B48" s="57" t="s">
        <v>427</v>
      </c>
      <c r="C48" s="58"/>
      <c r="D48"/>
      <c r="E48" s="121" t="s">
        <v>448</v>
      </c>
      <c r="F48" s="98"/>
      <c r="G48" s="99"/>
      <c r="H48" s="90"/>
    </row>
    <row r="49" spans="1:8" x14ac:dyDescent="0.2">
      <c r="A49" s="13" t="s">
        <v>221</v>
      </c>
      <c r="B49" s="93" t="s">
        <v>222</v>
      </c>
      <c r="C49" s="94"/>
      <c r="D49"/>
      <c r="E49" s="121" t="s">
        <v>449</v>
      </c>
      <c r="F49" s="98"/>
      <c r="G49" s="99"/>
      <c r="H49" s="90"/>
    </row>
    <row r="50" spans="1:8" x14ac:dyDescent="0.2">
      <c r="A50" s="13" t="s">
        <v>3</v>
      </c>
      <c r="B50" s="93" t="s">
        <v>240</v>
      </c>
      <c r="C50" s="45"/>
      <c r="D50"/>
      <c r="E50" s="121" t="s">
        <v>450</v>
      </c>
      <c r="F50" s="98"/>
      <c r="G50" s="99"/>
      <c r="H50" s="90"/>
    </row>
    <row r="51" spans="1:8" x14ac:dyDescent="0.2">
      <c r="A51" s="13" t="s">
        <v>225</v>
      </c>
      <c r="B51" s="93" t="s">
        <v>421</v>
      </c>
      <c r="C51" s="45"/>
      <c r="D51"/>
      <c r="E51" s="121" t="s">
        <v>451</v>
      </c>
      <c r="F51" s="98"/>
      <c r="G51" s="99"/>
      <c r="H51" s="90"/>
    </row>
    <row r="52" spans="1:8" x14ac:dyDescent="0.2">
      <c r="A52" s="13" t="s">
        <v>3</v>
      </c>
      <c r="B52" s="93" t="s">
        <v>0</v>
      </c>
      <c r="C52" s="45"/>
      <c r="D52"/>
      <c r="E52" s="121" t="s">
        <v>352</v>
      </c>
      <c r="F52" s="98"/>
      <c r="G52" s="99"/>
      <c r="H52" s="90"/>
    </row>
    <row r="53" spans="1:8" x14ac:dyDescent="0.2">
      <c r="A53" s="13" t="s">
        <v>225</v>
      </c>
      <c r="B53" s="93" t="s">
        <v>420</v>
      </c>
      <c r="C53" s="45"/>
      <c r="D53"/>
      <c r="E53" s="121" t="s">
        <v>353</v>
      </c>
      <c r="F53" s="98"/>
      <c r="G53" s="99"/>
      <c r="H53" s="90"/>
    </row>
    <row r="54" spans="1:8" x14ac:dyDescent="0.2">
      <c r="A54" s="96"/>
      <c r="B54" s="96"/>
      <c r="C54" s="96"/>
      <c r="D54"/>
      <c r="E54" s="121" t="s">
        <v>452</v>
      </c>
      <c r="F54" s="98"/>
      <c r="G54" s="99"/>
      <c r="H54" s="90"/>
    </row>
    <row r="55" spans="1:8" x14ac:dyDescent="0.2">
      <c r="A55" s="47" t="s">
        <v>129</v>
      </c>
      <c r="B55" s="57" t="s">
        <v>423</v>
      </c>
      <c r="C55" s="58"/>
      <c r="D55"/>
      <c r="E55" s="121" t="s">
        <v>354</v>
      </c>
      <c r="F55" s="98"/>
      <c r="G55" s="99"/>
      <c r="H55" s="90"/>
    </row>
    <row r="56" spans="1:8" x14ac:dyDescent="0.2">
      <c r="A56" s="13" t="s">
        <v>221</v>
      </c>
      <c r="B56" s="93" t="s">
        <v>222</v>
      </c>
      <c r="C56" s="94"/>
      <c r="D56"/>
      <c r="E56" s="121" t="s">
        <v>355</v>
      </c>
      <c r="F56" s="98"/>
      <c r="G56" s="99"/>
      <c r="H56" s="90"/>
    </row>
    <row r="57" spans="1:8" x14ac:dyDescent="0.2">
      <c r="A57" s="13" t="s">
        <v>3</v>
      </c>
      <c r="B57" s="93" t="s">
        <v>240</v>
      </c>
      <c r="C57" s="45"/>
      <c r="D57"/>
      <c r="E57" s="121" t="s">
        <v>453</v>
      </c>
      <c r="F57" s="98"/>
      <c r="G57" s="99"/>
      <c r="H57" s="90"/>
    </row>
    <row r="58" spans="1:8" x14ac:dyDescent="0.2">
      <c r="A58" s="13" t="s">
        <v>225</v>
      </c>
      <c r="B58" s="93" t="s">
        <v>425</v>
      </c>
      <c r="C58" s="45"/>
      <c r="D58"/>
      <c r="E58" s="121" t="s">
        <v>454</v>
      </c>
      <c r="F58" s="98"/>
      <c r="G58" s="99"/>
      <c r="H58" s="90"/>
    </row>
    <row r="59" spans="1:8" x14ac:dyDescent="0.2">
      <c r="A59" s="13" t="s">
        <v>3</v>
      </c>
      <c r="B59" s="93" t="s">
        <v>0</v>
      </c>
      <c r="C59" s="45"/>
      <c r="D59"/>
      <c r="E59" s="121" t="s">
        <v>356</v>
      </c>
      <c r="F59" s="98"/>
      <c r="G59" s="99"/>
      <c r="H59" s="90"/>
    </row>
    <row r="60" spans="1:8" ht="14.25" customHeight="1" x14ac:dyDescent="0.2">
      <c r="A60" s="13" t="s">
        <v>225</v>
      </c>
      <c r="B60" s="93" t="s">
        <v>426</v>
      </c>
      <c r="C60" s="45"/>
      <c r="D60"/>
      <c r="E60" s="121" t="s">
        <v>357</v>
      </c>
      <c r="F60" s="98"/>
      <c r="G60" s="99"/>
      <c r="H60" s="90"/>
    </row>
    <row r="61" spans="1:8" ht="14.25" customHeight="1" x14ac:dyDescent="0.2">
      <c r="A61" s="96"/>
      <c r="B61" s="96"/>
      <c r="C61" s="96"/>
      <c r="D61"/>
      <c r="E61" s="121" t="s">
        <v>455</v>
      </c>
      <c r="F61" s="98"/>
      <c r="G61" s="99"/>
      <c r="H61" s="90"/>
    </row>
    <row r="62" spans="1:8" ht="14.25" customHeight="1" x14ac:dyDescent="0.2">
      <c r="A62" s="47" t="s">
        <v>129</v>
      </c>
      <c r="B62" s="57" t="s">
        <v>434</v>
      </c>
      <c r="C62" s="58"/>
      <c r="D62"/>
      <c r="E62" s="121" t="s">
        <v>456</v>
      </c>
      <c r="F62" s="98"/>
      <c r="G62" s="99"/>
      <c r="H62" s="90"/>
    </row>
    <row r="63" spans="1:8" ht="14.25" customHeight="1" x14ac:dyDescent="0.2">
      <c r="A63" s="13" t="s">
        <v>221</v>
      </c>
      <c r="B63" s="93" t="s">
        <v>222</v>
      </c>
      <c r="C63" s="94"/>
      <c r="D63"/>
      <c r="E63" s="121" t="s">
        <v>358</v>
      </c>
      <c r="F63" s="98"/>
      <c r="G63" s="99"/>
      <c r="H63" s="90"/>
    </row>
    <row r="64" spans="1:8" ht="14.25" customHeight="1" x14ac:dyDescent="0.2">
      <c r="A64" s="13" t="s">
        <v>3</v>
      </c>
      <c r="B64" s="93" t="s">
        <v>239</v>
      </c>
      <c r="C64" s="45"/>
      <c r="D64"/>
      <c r="E64" s="121" t="s">
        <v>359</v>
      </c>
      <c r="F64" s="98"/>
      <c r="G64" s="99"/>
      <c r="H64" s="90"/>
    </row>
    <row r="65" spans="1:8" ht="14.25" customHeight="1" x14ac:dyDescent="0.2">
      <c r="A65" s="13" t="s">
        <v>225</v>
      </c>
      <c r="B65" s="93" t="s">
        <v>425</v>
      </c>
      <c r="C65" s="45"/>
      <c r="D65"/>
      <c r="E65" s="121" t="s">
        <v>457</v>
      </c>
      <c r="F65" s="98"/>
      <c r="G65" s="99"/>
      <c r="H65" s="90"/>
    </row>
    <row r="66" spans="1:8" x14ac:dyDescent="0.2">
      <c r="A66" s="13" t="s">
        <v>3</v>
      </c>
      <c r="B66" s="93" t="s">
        <v>435</v>
      </c>
      <c r="C66" s="45"/>
      <c r="D66"/>
      <c r="E66" s="121" t="s">
        <v>458</v>
      </c>
      <c r="F66" s="98"/>
      <c r="G66" s="99"/>
    </row>
    <row r="67" spans="1:8" x14ac:dyDescent="0.2">
      <c r="A67" s="13" t="s">
        <v>225</v>
      </c>
      <c r="B67" s="93" t="s">
        <v>436</v>
      </c>
      <c r="C67" s="45"/>
      <c r="D67"/>
      <c r="E67" s="147" t="s">
        <v>459</v>
      </c>
      <c r="F67" s="104"/>
      <c r="G67" s="105"/>
    </row>
    <row r="68" spans="1:8" x14ac:dyDescent="0.2">
      <c r="A68" s="96"/>
      <c r="B68" s="96"/>
      <c r="C68" s="96"/>
      <c r="D68"/>
      <c r="E68" s="130" t="s">
        <v>460</v>
      </c>
    </row>
    <row r="69" spans="1:8" x14ac:dyDescent="0.2">
      <c r="A69" s="47" t="s">
        <v>129</v>
      </c>
      <c r="B69" s="57" t="s">
        <v>428</v>
      </c>
      <c r="C69" s="58"/>
      <c r="D69"/>
      <c r="E69" s="130" t="s">
        <v>360</v>
      </c>
    </row>
    <row r="70" spans="1:8" x14ac:dyDescent="0.2">
      <c r="A70" s="13" t="s">
        <v>221</v>
      </c>
      <c r="B70" s="93" t="s">
        <v>222</v>
      </c>
      <c r="C70" s="94"/>
      <c r="D70"/>
      <c r="E70" s="130" t="s">
        <v>461</v>
      </c>
    </row>
    <row r="71" spans="1:8" x14ac:dyDescent="0.2">
      <c r="A71" s="13" t="s">
        <v>223</v>
      </c>
      <c r="B71" s="93" t="s">
        <v>430</v>
      </c>
      <c r="C71" s="45"/>
      <c r="D71"/>
      <c r="E71" s="130" t="s">
        <v>462</v>
      </c>
    </row>
    <row r="72" spans="1:8" x14ac:dyDescent="0.2">
      <c r="A72" s="13" t="s">
        <v>225</v>
      </c>
      <c r="B72" s="93" t="s">
        <v>431</v>
      </c>
      <c r="C72" s="45"/>
      <c r="D72"/>
      <c r="E72" s="130" t="s">
        <v>361</v>
      </c>
    </row>
    <row r="73" spans="1:8" x14ac:dyDescent="0.2">
      <c r="A73" s="13" t="s">
        <v>223</v>
      </c>
      <c r="B73" s="93" t="s">
        <v>298</v>
      </c>
      <c r="C73" s="45"/>
      <c r="D73"/>
      <c r="E73" s="130" t="s">
        <v>362</v>
      </c>
    </row>
    <row r="74" spans="1:8" x14ac:dyDescent="0.2">
      <c r="A74" s="13" t="s">
        <v>228</v>
      </c>
      <c r="B74" s="93" t="s">
        <v>432</v>
      </c>
      <c r="C74" s="45"/>
      <c r="D74"/>
      <c r="E74" s="130" t="s">
        <v>571</v>
      </c>
    </row>
    <row r="75" spans="1:8" x14ac:dyDescent="0.2">
      <c r="A75" s="13" t="s">
        <v>223</v>
      </c>
      <c r="B75" s="93" t="s">
        <v>299</v>
      </c>
      <c r="C75" s="45"/>
      <c r="D75"/>
      <c r="E75" s="130" t="s">
        <v>419</v>
      </c>
    </row>
    <row r="76" spans="1:8" x14ac:dyDescent="0.2">
      <c r="A76" s="13" t="s">
        <v>228</v>
      </c>
      <c r="B76" s="93" t="s">
        <v>433</v>
      </c>
      <c r="C76" s="45"/>
      <c r="D76"/>
      <c r="E76" s="130" t="s">
        <v>363</v>
      </c>
    </row>
    <row r="77" spans="1:8" x14ac:dyDescent="0.2">
      <c r="A77" s="13" t="s">
        <v>3</v>
      </c>
      <c r="B77" s="93" t="s">
        <v>421</v>
      </c>
      <c r="C77" s="45"/>
      <c r="D77"/>
      <c r="E77" s="130" t="s">
        <v>463</v>
      </c>
    </row>
    <row r="78" spans="1:8" x14ac:dyDescent="0.2">
      <c r="A78" s="13" t="s">
        <v>225</v>
      </c>
      <c r="B78" s="93" t="s">
        <v>425</v>
      </c>
      <c r="C78" s="45"/>
      <c r="D78"/>
      <c r="E78" s="130" t="s">
        <v>464</v>
      </c>
    </row>
    <row r="79" spans="1:8" x14ac:dyDescent="0.2">
      <c r="A79" s="13" t="s">
        <v>3</v>
      </c>
      <c r="B79" s="93" t="s">
        <v>420</v>
      </c>
      <c r="C79" s="45"/>
      <c r="D79"/>
      <c r="E79" s="130" t="s">
        <v>465</v>
      </c>
    </row>
    <row r="80" spans="1:8" x14ac:dyDescent="0.2">
      <c r="A80" s="13" t="s">
        <v>225</v>
      </c>
      <c r="B80" s="93" t="s">
        <v>426</v>
      </c>
      <c r="C80" s="45"/>
      <c r="D80"/>
      <c r="E80" s="130" t="s">
        <v>466</v>
      </c>
    </row>
    <row r="81" spans="1:5" x14ac:dyDescent="0.2">
      <c r="A81" s="96"/>
      <c r="B81" s="96"/>
      <c r="C81" s="96"/>
      <c r="D81"/>
      <c r="E81" s="130" t="s">
        <v>364</v>
      </c>
    </row>
    <row r="82" spans="1:5" x14ac:dyDescent="0.2">
      <c r="A82" s="96"/>
      <c r="B82" s="96"/>
      <c r="C82" s="96"/>
      <c r="D82"/>
      <c r="E82" s="130" t="s">
        <v>365</v>
      </c>
    </row>
    <row r="83" spans="1:5" x14ac:dyDescent="0.2">
      <c r="A83" s="47" t="s">
        <v>129</v>
      </c>
      <c r="B83" s="57" t="s">
        <v>429</v>
      </c>
      <c r="C83" s="58"/>
      <c r="D83"/>
      <c r="E83" s="130" t="s">
        <v>467</v>
      </c>
    </row>
    <row r="84" spans="1:5" x14ac:dyDescent="0.2">
      <c r="A84" s="13" t="s">
        <v>221</v>
      </c>
      <c r="B84" s="93" t="s">
        <v>222</v>
      </c>
      <c r="C84" s="94"/>
      <c r="D84"/>
      <c r="E84" s="130" t="s">
        <v>468</v>
      </c>
    </row>
    <row r="85" spans="1:5" x14ac:dyDescent="0.2">
      <c r="A85" s="13" t="s">
        <v>223</v>
      </c>
      <c r="B85" s="93" t="s">
        <v>224</v>
      </c>
      <c r="C85" s="45"/>
      <c r="D85"/>
      <c r="E85" s="130" t="s">
        <v>469</v>
      </c>
    </row>
    <row r="86" spans="1:5" x14ac:dyDescent="0.2">
      <c r="A86" s="13" t="s">
        <v>225</v>
      </c>
      <c r="B86" s="93" t="s">
        <v>430</v>
      </c>
      <c r="C86" s="45"/>
      <c r="D86"/>
      <c r="E86" s="130" t="s">
        <v>470</v>
      </c>
    </row>
    <row r="87" spans="1:5" x14ac:dyDescent="0.2">
      <c r="A87" s="13" t="s">
        <v>223</v>
      </c>
      <c r="B87" s="93" t="s">
        <v>226</v>
      </c>
      <c r="C87" s="45"/>
      <c r="D87"/>
      <c r="E87" s="130" t="s">
        <v>471</v>
      </c>
    </row>
    <row r="88" spans="1:5" x14ac:dyDescent="0.2">
      <c r="A88" s="13" t="s">
        <v>228</v>
      </c>
      <c r="B88" s="93" t="s">
        <v>298</v>
      </c>
      <c r="C88" s="45"/>
      <c r="D88"/>
      <c r="E88" s="130" t="s">
        <v>472</v>
      </c>
    </row>
    <row r="89" spans="1:5" x14ac:dyDescent="0.2">
      <c r="A89" s="13" t="s">
        <v>223</v>
      </c>
      <c r="B89" s="93" t="s">
        <v>227</v>
      </c>
      <c r="C89" s="45"/>
      <c r="D89"/>
      <c r="E89" s="130" t="s">
        <v>366</v>
      </c>
    </row>
    <row r="90" spans="1:5" x14ac:dyDescent="0.2">
      <c r="A90" s="13" t="s">
        <v>228</v>
      </c>
      <c r="B90" s="93" t="s">
        <v>299</v>
      </c>
      <c r="C90" s="45"/>
      <c r="D90"/>
      <c r="E90" s="130" t="s">
        <v>367</v>
      </c>
    </row>
    <row r="91" spans="1:5" x14ac:dyDescent="0.2">
      <c r="A91" s="32"/>
      <c r="B91" s="32"/>
      <c r="C91" s="32"/>
      <c r="D91"/>
      <c r="E91" s="130" t="s">
        <v>368</v>
      </c>
    </row>
    <row r="92" spans="1:5" x14ac:dyDescent="0.2">
      <c r="A92" s="60" t="s">
        <v>130</v>
      </c>
      <c r="B92" s="61"/>
      <c r="C92" s="58"/>
      <c r="D92"/>
      <c r="E92" s="130" t="s">
        <v>369</v>
      </c>
    </row>
    <row r="93" spans="1:5" x14ac:dyDescent="0.2">
      <c r="A93" s="93" t="s">
        <v>235</v>
      </c>
      <c r="B93" s="96"/>
      <c r="C93" s="45"/>
      <c r="D93"/>
      <c r="E93" s="130" t="s">
        <v>370</v>
      </c>
    </row>
    <row r="94" spans="1:5" x14ac:dyDescent="0.2">
      <c r="A94" s="93" t="s">
        <v>411</v>
      </c>
      <c r="B94" s="96"/>
      <c r="C94" s="45"/>
      <c r="D94"/>
      <c r="E94" s="130" t="s">
        <v>371</v>
      </c>
    </row>
    <row r="95" spans="1:5" x14ac:dyDescent="0.2">
      <c r="A95" s="93" t="s">
        <v>412</v>
      </c>
      <c r="B95" s="96"/>
      <c r="C95" s="45"/>
      <c r="D95"/>
      <c r="E95" s="130" t="s">
        <v>372</v>
      </c>
    </row>
    <row r="96" spans="1:5" x14ac:dyDescent="0.2">
      <c r="A96" s="93" t="s">
        <v>413</v>
      </c>
      <c r="B96" s="96"/>
      <c r="C96" s="45"/>
      <c r="D96"/>
      <c r="E96" s="130" t="s">
        <v>373</v>
      </c>
    </row>
    <row r="97" spans="1:5" x14ac:dyDescent="0.2">
      <c r="A97" s="93"/>
      <c r="B97" s="96"/>
      <c r="C97" s="45"/>
      <c r="D97"/>
      <c r="E97" s="130" t="s">
        <v>370</v>
      </c>
    </row>
    <row r="98" spans="1:5" x14ac:dyDescent="0.2">
      <c r="A98" s="108" t="s">
        <v>414</v>
      </c>
      <c r="B98" s="53"/>
      <c r="C98" s="92"/>
      <c r="D98"/>
      <c r="E98" s="130" t="s">
        <v>371</v>
      </c>
    </row>
    <row r="99" spans="1:5" x14ac:dyDescent="0.2">
      <c r="A99" s="108" t="s">
        <v>417</v>
      </c>
      <c r="B99" s="53"/>
      <c r="C99" s="92"/>
      <c r="D99"/>
      <c r="E99" s="130" t="s">
        <v>374</v>
      </c>
    </row>
    <row r="100" spans="1:5" x14ac:dyDescent="0.2">
      <c r="A100" s="155" t="s">
        <v>418</v>
      </c>
      <c r="B100" s="55"/>
      <c r="C100" s="12"/>
      <c r="D100"/>
      <c r="E100" s="130" t="s">
        <v>375</v>
      </c>
    </row>
    <row r="101" spans="1:5" x14ac:dyDescent="0.2">
      <c r="A101" s="66" t="s">
        <v>415</v>
      </c>
      <c r="B101" s="55"/>
      <c r="C101" s="12"/>
      <c r="D101"/>
      <c r="E101" s="130" t="s">
        <v>376</v>
      </c>
    </row>
    <row r="102" spans="1:5" x14ac:dyDescent="0.2">
      <c r="A102" s="93" t="s">
        <v>416</v>
      </c>
      <c r="B102" s="96"/>
      <c r="C102" s="45"/>
      <c r="D102"/>
      <c r="E102" s="130" t="s">
        <v>377</v>
      </c>
    </row>
    <row r="103" spans="1:5" x14ac:dyDescent="0.2">
      <c r="A103" s="93"/>
      <c r="B103" s="96"/>
      <c r="C103" s="45"/>
      <c r="D103"/>
      <c r="E103" s="130" t="s">
        <v>378</v>
      </c>
    </row>
    <row r="104" spans="1:5" x14ac:dyDescent="0.2">
      <c r="A104" s="93"/>
      <c r="B104" s="96"/>
      <c r="C104" s="45"/>
      <c r="D104"/>
      <c r="E104" s="130" t="s">
        <v>379</v>
      </c>
    </row>
    <row r="105" spans="1:5" x14ac:dyDescent="0.2">
      <c r="A105" s="93"/>
      <c r="B105" s="96"/>
      <c r="C105" s="45"/>
      <c r="D105"/>
      <c r="E105" s="130" t="s">
        <v>380</v>
      </c>
    </row>
    <row r="106" spans="1:5" x14ac:dyDescent="0.2">
      <c r="A106" s="93"/>
      <c r="B106" s="96"/>
      <c r="C106" s="45"/>
      <c r="D106"/>
      <c r="E106" s="130" t="s">
        <v>473</v>
      </c>
    </row>
    <row r="107" spans="1:5" x14ac:dyDescent="0.2">
      <c r="A107" s="93"/>
      <c r="B107" s="96"/>
      <c r="C107" s="45"/>
      <c r="D107"/>
      <c r="E107" s="130" t="s">
        <v>381</v>
      </c>
    </row>
    <row r="108" spans="1:5" x14ac:dyDescent="0.2">
      <c r="A108" s="93"/>
      <c r="B108" s="96"/>
      <c r="C108" s="45"/>
      <c r="D108"/>
      <c r="E108" s="130" t="s">
        <v>382</v>
      </c>
    </row>
    <row r="109" spans="1:5" x14ac:dyDescent="0.2">
      <c r="A109" s="93"/>
      <c r="B109" s="96"/>
      <c r="C109" s="45"/>
      <c r="D109"/>
      <c r="E109" s="130" t="s">
        <v>383</v>
      </c>
    </row>
    <row r="110" spans="1:5" x14ac:dyDescent="0.2">
      <c r="A110" s="93"/>
      <c r="B110" s="96"/>
      <c r="C110" s="45"/>
      <c r="D110"/>
      <c r="E110" s="130" t="s">
        <v>384</v>
      </c>
    </row>
    <row r="111" spans="1:5" x14ac:dyDescent="0.2">
      <c r="A111" s="100"/>
      <c r="B111" s="48"/>
      <c r="C111" s="48"/>
      <c r="D111"/>
      <c r="E111" s="130" t="s">
        <v>385</v>
      </c>
    </row>
    <row r="112" spans="1:5" x14ac:dyDescent="0.2">
      <c r="A112" s="34"/>
      <c r="B112" s="34"/>
      <c r="E112" s="130" t="s">
        <v>386</v>
      </c>
    </row>
    <row r="113" spans="1:5" x14ac:dyDescent="0.2">
      <c r="A113"/>
      <c r="B113"/>
      <c r="C113"/>
      <c r="D113"/>
      <c r="E113" s="130" t="s">
        <v>387</v>
      </c>
    </row>
    <row r="114" spans="1:5" x14ac:dyDescent="0.2">
      <c r="A114"/>
      <c r="B114"/>
      <c r="C114"/>
      <c r="D114"/>
      <c r="E114" s="130" t="s">
        <v>388</v>
      </c>
    </row>
    <row r="115" spans="1:5" x14ac:dyDescent="0.2">
      <c r="A115"/>
      <c r="B115"/>
      <c r="C115"/>
      <c r="D115"/>
      <c r="E115" s="130" t="s">
        <v>389</v>
      </c>
    </row>
    <row r="116" spans="1:5" x14ac:dyDescent="0.2">
      <c r="A116"/>
      <c r="B116"/>
      <c r="C116"/>
      <c r="D116"/>
      <c r="E116" s="130" t="s">
        <v>390</v>
      </c>
    </row>
    <row r="117" spans="1:5" x14ac:dyDescent="0.2">
      <c r="A117"/>
      <c r="B117"/>
      <c r="C117"/>
      <c r="D117"/>
      <c r="E117" s="130" t="s">
        <v>391</v>
      </c>
    </row>
    <row r="118" spans="1:5" x14ac:dyDescent="0.2">
      <c r="E118" s="130" t="s">
        <v>392</v>
      </c>
    </row>
    <row r="119" spans="1:5" x14ac:dyDescent="0.2">
      <c r="E119" s="130" t="s">
        <v>393</v>
      </c>
    </row>
    <row r="120" spans="1:5" x14ac:dyDescent="0.2">
      <c r="E120" s="130" t="s">
        <v>394</v>
      </c>
    </row>
    <row r="121" spans="1:5" x14ac:dyDescent="0.2">
      <c r="E121" s="130" t="s">
        <v>422</v>
      </c>
    </row>
    <row r="122" spans="1:5" x14ac:dyDescent="0.2">
      <c r="E122" s="130" t="s">
        <v>395</v>
      </c>
    </row>
    <row r="123" spans="1:5" x14ac:dyDescent="0.2">
      <c r="E123" s="130" t="s">
        <v>396</v>
      </c>
    </row>
    <row r="124" spans="1:5" x14ac:dyDescent="0.2">
      <c r="E124" s="130" t="s">
        <v>397</v>
      </c>
    </row>
    <row r="125" spans="1:5" x14ac:dyDescent="0.2">
      <c r="E125" s="130" t="s">
        <v>398</v>
      </c>
    </row>
    <row r="126" spans="1:5" x14ac:dyDescent="0.2">
      <c r="E126" s="130" t="s">
        <v>399</v>
      </c>
    </row>
    <row r="127" spans="1:5" x14ac:dyDescent="0.2">
      <c r="E127" s="130" t="s">
        <v>400</v>
      </c>
    </row>
    <row r="128" spans="1:5" x14ac:dyDescent="0.2">
      <c r="E128" s="130" t="s">
        <v>401</v>
      </c>
    </row>
    <row r="129" spans="5:5" x14ac:dyDescent="0.2">
      <c r="E129" s="130" t="s">
        <v>402</v>
      </c>
    </row>
    <row r="130" spans="5:5" x14ac:dyDescent="0.2">
      <c r="E130" s="130" t="s">
        <v>403</v>
      </c>
    </row>
    <row r="131" spans="5:5" x14ac:dyDescent="0.2">
      <c r="E131" s="130" t="s">
        <v>404</v>
      </c>
    </row>
    <row r="132" spans="5:5" x14ac:dyDescent="0.2">
      <c r="E132" s="130" t="s">
        <v>474</v>
      </c>
    </row>
    <row r="133" spans="5:5" x14ac:dyDescent="0.2">
      <c r="E133" s="130"/>
    </row>
    <row r="134" spans="5:5" x14ac:dyDescent="0.2">
      <c r="E134" s="130" t="s">
        <v>584</v>
      </c>
    </row>
    <row r="135" spans="5:5" x14ac:dyDescent="0.2">
      <c r="E135" s="130" t="s">
        <v>475</v>
      </c>
    </row>
    <row r="136" spans="5:5" x14ac:dyDescent="0.2">
      <c r="E136" s="130" t="s">
        <v>586</v>
      </c>
    </row>
    <row r="137" spans="5:5" x14ac:dyDescent="0.2">
      <c r="E137" s="130" t="s">
        <v>476</v>
      </c>
    </row>
    <row r="138" spans="5:5" x14ac:dyDescent="0.2">
      <c r="E138" s="130" t="s">
        <v>477</v>
      </c>
    </row>
    <row r="139" spans="5:5" x14ac:dyDescent="0.2">
      <c r="E139" s="130" t="s">
        <v>478</v>
      </c>
    </row>
    <row r="140" spans="5:5" x14ac:dyDescent="0.2">
      <c r="E140" s="130" t="s">
        <v>479</v>
      </c>
    </row>
    <row r="141" spans="5:5" x14ac:dyDescent="0.2">
      <c r="E141" s="130" t="s">
        <v>480</v>
      </c>
    </row>
    <row r="142" spans="5:5" x14ac:dyDescent="0.2">
      <c r="E142" s="130" t="s">
        <v>481</v>
      </c>
    </row>
    <row r="143" spans="5:5" x14ac:dyDescent="0.2">
      <c r="E143" s="130" t="s">
        <v>482</v>
      </c>
    </row>
    <row r="144" spans="5:5" x14ac:dyDescent="0.2">
      <c r="E144" s="130" t="s">
        <v>483</v>
      </c>
    </row>
    <row r="145" spans="5:5" x14ac:dyDescent="0.2">
      <c r="E145" s="130"/>
    </row>
    <row r="146" spans="5:5" x14ac:dyDescent="0.2">
      <c r="E146" s="130"/>
    </row>
    <row r="147" spans="5:5" x14ac:dyDescent="0.2">
      <c r="E147" s="130"/>
    </row>
    <row r="148" spans="5:5" x14ac:dyDescent="0.2">
      <c r="E148" s="130"/>
    </row>
    <row r="149" spans="5:5" x14ac:dyDescent="0.2">
      <c r="E149" s="130"/>
    </row>
    <row r="150" spans="5:5" x14ac:dyDescent="0.2">
      <c r="E150" s="130"/>
    </row>
    <row r="151" spans="5:5" x14ac:dyDescent="0.2">
      <c r="E151" s="130"/>
    </row>
    <row r="152" spans="5:5" x14ac:dyDescent="0.2">
      <c r="E152" s="130"/>
    </row>
    <row r="153" spans="5:5" x14ac:dyDescent="0.2">
      <c r="E153" s="130" t="s">
        <v>483</v>
      </c>
    </row>
  </sheetData>
  <mergeCells count="3">
    <mergeCell ref="C2:D2"/>
    <mergeCell ref="E2:F2"/>
    <mergeCell ref="G2:H2"/>
  </mergeCells>
  <phoneticPr fontId="5"/>
  <pageMargins left="0.39370078740157483" right="0.39370078740157483" top="0.98425196850393704" bottom="0.98425196850393704" header="0.51181102362204722" footer="0.51181102362204722"/>
  <pageSetup paperSize="9" scale="59" orientation="landscape" verticalDpi="300" r:id="rId1"/>
  <headerFooter alignWithMargins="0"/>
  <rowBreaks count="1" manualBreakCount="1">
    <brk id="18" max="6" man="1"/>
  </rowBreaks>
  <colBreaks count="1" manualBreakCount="1">
    <brk id="8" max="4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262A-77B5-4338-830A-380A9417315A}">
  <sheetPr codeName="Sheet24"/>
  <dimension ref="A1:J107"/>
  <sheetViews>
    <sheetView view="pageBreakPreview" zoomScale="85" zoomScaleNormal="85" zoomScaleSheetLayoutView="100" workbookViewId="0">
      <pane ySplit="2" topLeftCell="A33" activePane="bottomLeft" state="frozen"/>
      <selection activeCell="B17" sqref="B17"/>
      <selection pane="bottomLeft" activeCell="A3" sqref="A3"/>
    </sheetView>
  </sheetViews>
  <sheetFormatPr defaultColWidth="9" defaultRowHeight="13" x14ac:dyDescent="0.2"/>
  <cols>
    <col min="1" max="1" width="23.36328125" style="2" customWidth="1"/>
    <col min="2" max="2" width="21.36328125" style="2" customWidth="1"/>
    <col min="3" max="3" width="13.90625" style="2" customWidth="1"/>
    <col min="4" max="4" width="11.7265625" style="2" customWidth="1"/>
    <col min="5" max="5" width="18" style="2" customWidth="1"/>
    <col min="6" max="6" width="13.453125" style="2" customWidth="1"/>
    <col min="7" max="7" width="61.90625" style="2" customWidth="1"/>
    <col min="8" max="8" width="17.7265625" style="2" customWidth="1"/>
    <col min="9" max="16384" width="9" style="2"/>
  </cols>
  <sheetData>
    <row r="1" spans="1:10" s="25" customFormat="1" ht="30" customHeight="1" thickBot="1" x14ac:dyDescent="0.25">
      <c r="A1" s="22"/>
    </row>
    <row r="2" spans="1:10" s="26" customFormat="1" ht="24" customHeight="1" x14ac:dyDescent="0.25">
      <c r="A2" s="23" t="s">
        <v>122</v>
      </c>
      <c r="C2" s="242" t="s">
        <v>146</v>
      </c>
      <c r="D2" s="242"/>
      <c r="E2" s="24" t="s">
        <v>148</v>
      </c>
      <c r="F2" s="243" t="s">
        <v>147</v>
      </c>
      <c r="G2" s="243"/>
      <c r="H2" s="24"/>
      <c r="I2" s="24"/>
      <c r="J2" s="24"/>
    </row>
    <row r="3" spans="1:10" ht="25.5" customHeight="1" x14ac:dyDescent="0.35">
      <c r="A3" s="1" t="s">
        <v>513</v>
      </c>
    </row>
    <row r="4" spans="1:10" ht="19" x14ac:dyDescent="0.3">
      <c r="A4" s="88"/>
    </row>
    <row r="5" spans="1:10" ht="14.25" customHeight="1" x14ac:dyDescent="0.2">
      <c r="A5" s="9" t="s">
        <v>512</v>
      </c>
      <c r="B5" s="14"/>
    </row>
    <row r="7" spans="1:10" x14ac:dyDescent="0.2">
      <c r="A7" s="2" t="s">
        <v>184</v>
      </c>
    </row>
    <row r="9" spans="1:10" ht="14.25" customHeight="1" x14ac:dyDescent="0.2">
      <c r="A9" s="3" t="s">
        <v>314</v>
      </c>
    </row>
    <row r="10" spans="1:10" x14ac:dyDescent="0.2">
      <c r="A10" s="10"/>
    </row>
    <row r="11" spans="1:10" x14ac:dyDescent="0.2">
      <c r="A11" s="15" t="s">
        <v>86</v>
      </c>
      <c r="B11" s="16" t="s">
        <v>62</v>
      </c>
      <c r="C11" s="16" t="s">
        <v>63</v>
      </c>
      <c r="D11" s="16" t="s">
        <v>64</v>
      </c>
      <c r="E11" s="16" t="s">
        <v>65</v>
      </c>
      <c r="F11" s="16" t="s">
        <v>124</v>
      </c>
      <c r="G11" s="16" t="s">
        <v>66</v>
      </c>
    </row>
    <row r="12" spans="1:10" x14ac:dyDescent="0.2">
      <c r="A12" s="18" t="str">
        <f t="shared" ref="A12:A17" si="0">IF(ISERROR(FIND("_",E12)),LOWER(E12),CONCATENATE(LOWER(LEFT(E12,(FIND("_",E12))-1)),SUBSTITUTE(PROPER(LOWER(RIGHT(E12,LEN(E12)-FIND("_",E12)))),"_","")))</f>
        <v>sibuCd</v>
      </c>
      <c r="B12" s="18" t="s">
        <v>73</v>
      </c>
      <c r="C12" s="79" t="s">
        <v>21</v>
      </c>
      <c r="D12" s="45" t="s">
        <v>180</v>
      </c>
      <c r="E12" s="77" t="s">
        <v>201</v>
      </c>
      <c r="F12" s="46" t="s">
        <v>593</v>
      </c>
      <c r="G12" s="18"/>
    </row>
    <row r="13" spans="1:10" x14ac:dyDescent="0.2">
      <c r="A13" s="18" t="str">
        <f t="shared" si="0"/>
        <v>sibuName</v>
      </c>
      <c r="B13" s="18" t="s">
        <v>22</v>
      </c>
      <c r="C13" s="79" t="s">
        <v>21</v>
      </c>
      <c r="D13" s="76" t="s">
        <v>58</v>
      </c>
      <c r="E13" s="77" t="s">
        <v>57</v>
      </c>
      <c r="F13" s="46" t="s">
        <v>5</v>
      </c>
      <c r="G13" s="18"/>
    </row>
    <row r="14" spans="1:10" x14ac:dyDescent="0.2">
      <c r="A14" s="18" t="str">
        <f t="shared" si="0"/>
        <v>onerCd</v>
      </c>
      <c r="B14" s="17" t="s">
        <v>141</v>
      </c>
      <c r="C14" s="79" t="s">
        <v>21</v>
      </c>
      <c r="D14" s="45" t="s">
        <v>142</v>
      </c>
      <c r="E14" s="68" t="s">
        <v>162</v>
      </c>
      <c r="F14" s="46" t="s">
        <v>593</v>
      </c>
      <c r="G14" s="17"/>
    </row>
    <row r="15" spans="1:10" x14ac:dyDescent="0.2">
      <c r="A15" s="18" t="str">
        <f t="shared" si="0"/>
        <v>onerNameKj</v>
      </c>
      <c r="B15" s="17" t="s">
        <v>137</v>
      </c>
      <c r="C15" s="79" t="s">
        <v>21</v>
      </c>
      <c r="D15" s="45" t="s">
        <v>139</v>
      </c>
      <c r="E15" s="68" t="s">
        <v>143</v>
      </c>
      <c r="F15" s="46" t="s">
        <v>25</v>
      </c>
      <c r="G15" s="17"/>
    </row>
    <row r="16" spans="1:10" x14ac:dyDescent="0.2">
      <c r="A16" s="18" t="str">
        <f>IF(ISERROR(FIND("_",E16)),LOWER(E16),CONCATENATE(LOWER(LEFT(E16,(FIND("_",E16))-1)),SUBSTITUTE(PROPER(LOWER(RIGHT(E16,LEN(E16)-FIND("_",E16)))),"_","")))</f>
        <v>entryFlg</v>
      </c>
      <c r="B16" s="18" t="s">
        <v>635</v>
      </c>
      <c r="C16" s="79" t="s">
        <v>437</v>
      </c>
      <c r="D16" s="12" t="s">
        <v>595</v>
      </c>
      <c r="E16" s="20" t="s">
        <v>636</v>
      </c>
      <c r="F16" s="46" t="s">
        <v>597</v>
      </c>
      <c r="G16" s="154" t="s">
        <v>637</v>
      </c>
    </row>
    <row r="17" spans="1:9" x14ac:dyDescent="0.2">
      <c r="A17" s="18" t="str">
        <f t="shared" si="0"/>
        <v>attendCnt</v>
      </c>
      <c r="B17" s="18" t="s">
        <v>594</v>
      </c>
      <c r="C17" s="79" t="s">
        <v>437</v>
      </c>
      <c r="D17" s="12" t="s">
        <v>595</v>
      </c>
      <c r="E17" s="20" t="s">
        <v>209</v>
      </c>
      <c r="F17" s="46" t="s">
        <v>599</v>
      </c>
      <c r="G17" s="17"/>
    </row>
    <row r="19" spans="1:9" s="34" customFormat="1" ht="25.5" x14ac:dyDescent="0.35">
      <c r="A19" s="30" t="s">
        <v>123</v>
      </c>
      <c r="B19" s="31"/>
      <c r="C19" s="32"/>
      <c r="D19" s="32"/>
      <c r="E19" s="32"/>
      <c r="F19" s="32"/>
      <c r="G19" s="33"/>
      <c r="H19" s="31"/>
    </row>
    <row r="20" spans="1:9" s="34" customFormat="1" ht="19" x14ac:dyDescent="0.3">
      <c r="A20" s="35" t="s">
        <v>514</v>
      </c>
      <c r="B20" s="36"/>
      <c r="C20" s="37"/>
      <c r="D20" s="37"/>
      <c r="E20" s="37"/>
      <c r="F20" s="37"/>
      <c r="G20" s="38"/>
      <c r="H20" s="31"/>
    </row>
    <row r="21" spans="1:9" s="34" customFormat="1" ht="14" x14ac:dyDescent="0.2">
      <c r="A21" s="3" t="s">
        <v>316</v>
      </c>
      <c r="B21" s="36"/>
      <c r="C21" s="37"/>
      <c r="D21" s="37"/>
      <c r="E21" s="37"/>
      <c r="F21" s="37"/>
      <c r="G21" s="38"/>
      <c r="H21" s="31"/>
    </row>
    <row r="23" spans="1:9" s="34" customFormat="1" x14ac:dyDescent="0.2">
      <c r="A23" s="42" t="s">
        <v>313</v>
      </c>
      <c r="B23" s="39"/>
      <c r="C23" s="40"/>
      <c r="D23" s="40"/>
      <c r="E23" s="40"/>
      <c r="F23" s="40"/>
      <c r="G23" s="41"/>
      <c r="H23" s="39"/>
      <c r="I23" s="42"/>
    </row>
    <row r="25" spans="1:9" x14ac:dyDescent="0.2">
      <c r="A25" s="60" t="s">
        <v>127</v>
      </c>
      <c r="B25" s="141"/>
      <c r="E25" s="72" t="s">
        <v>55</v>
      </c>
      <c r="F25" s="73"/>
      <c r="G25" s="117"/>
      <c r="H25" s="51"/>
    </row>
    <row r="26" spans="1:9" x14ac:dyDescent="0.2">
      <c r="A26" s="142" t="s">
        <v>643</v>
      </c>
      <c r="B26" s="143"/>
      <c r="E26" s="118" t="s">
        <v>250</v>
      </c>
      <c r="F26" s="110"/>
      <c r="G26" s="97"/>
      <c r="H26" s="98"/>
      <c r="I26" s="34"/>
    </row>
    <row r="27" spans="1:9" x14ac:dyDescent="0.2">
      <c r="A27" s="142" t="s">
        <v>18</v>
      </c>
      <c r="B27" s="143"/>
      <c r="E27" s="64"/>
      <c r="F27" s="111"/>
      <c r="G27" s="99"/>
      <c r="H27" s="98"/>
      <c r="I27" s="34"/>
    </row>
    <row r="28" spans="1:9" x14ac:dyDescent="0.2">
      <c r="A28" s="139" t="s">
        <v>161</v>
      </c>
      <c r="B28" s="138"/>
      <c r="E28" s="64"/>
      <c r="F28" s="111"/>
      <c r="G28" s="99"/>
      <c r="H28" s="98"/>
      <c r="I28" s="34"/>
    </row>
    <row r="29" spans="1:9" x14ac:dyDescent="0.2">
      <c r="A29" s="139" t="s">
        <v>182</v>
      </c>
      <c r="B29" s="138"/>
      <c r="E29" s="64" t="s">
        <v>251</v>
      </c>
      <c r="F29" s="111"/>
      <c r="G29" s="99"/>
      <c r="H29" s="98"/>
      <c r="I29" s="34"/>
    </row>
    <row r="30" spans="1:9" x14ac:dyDescent="0.2">
      <c r="A30" s="139" t="s">
        <v>183</v>
      </c>
      <c r="B30" s="138"/>
      <c r="E30" s="64" t="s">
        <v>252</v>
      </c>
      <c r="F30" s="111"/>
      <c r="G30" s="99"/>
      <c r="H30" s="98"/>
      <c r="I30" s="34"/>
    </row>
    <row r="31" spans="1:9" x14ac:dyDescent="0.2">
      <c r="A31" s="93" t="s">
        <v>134</v>
      </c>
      <c r="B31" s="138"/>
      <c r="E31" s="64" t="s">
        <v>253</v>
      </c>
      <c r="F31" s="111"/>
      <c r="G31" s="99"/>
      <c r="H31" s="98"/>
      <c r="I31" s="34"/>
    </row>
    <row r="32" spans="1:9" x14ac:dyDescent="0.2">
      <c r="A32" s="93" t="s">
        <v>199</v>
      </c>
      <c r="B32" s="138"/>
      <c r="E32" s="64"/>
      <c r="F32" s="111"/>
      <c r="G32" s="99"/>
      <c r="H32" s="98"/>
      <c r="I32" s="34"/>
    </row>
    <row r="33" spans="1:9" x14ac:dyDescent="0.2">
      <c r="A33" s="93" t="s">
        <v>590</v>
      </c>
      <c r="B33" s="138"/>
      <c r="E33" s="64" t="s">
        <v>254</v>
      </c>
      <c r="F33" s="111"/>
      <c r="G33" s="99"/>
      <c r="H33" s="98"/>
      <c r="I33" s="34"/>
    </row>
    <row r="34" spans="1:9" x14ac:dyDescent="0.2">
      <c r="A34" s="93" t="s">
        <v>591</v>
      </c>
      <c r="B34" s="138"/>
      <c r="E34" s="64" t="s">
        <v>255</v>
      </c>
      <c r="F34" s="111"/>
      <c r="G34" s="99"/>
      <c r="H34" s="98"/>
      <c r="I34" s="34"/>
    </row>
    <row r="35" spans="1:9" x14ac:dyDescent="0.2">
      <c r="A35" s="140" t="s">
        <v>592</v>
      </c>
      <c r="B35" s="138"/>
      <c r="C35" s="49"/>
      <c r="E35" s="64" t="s">
        <v>256</v>
      </c>
      <c r="F35" s="98"/>
      <c r="G35" s="99"/>
      <c r="H35" s="98"/>
      <c r="I35" s="34"/>
    </row>
    <row r="36" spans="1:9" x14ac:dyDescent="0.2">
      <c r="A36" s="145"/>
      <c r="B36" s="91"/>
      <c r="C36" s="49"/>
      <c r="E36" s="64" t="s">
        <v>257</v>
      </c>
      <c r="F36" s="98"/>
      <c r="G36" s="99"/>
      <c r="H36" s="98"/>
      <c r="I36" s="34"/>
    </row>
    <row r="37" spans="1:9" x14ac:dyDescent="0.2">
      <c r="A37" s="47" t="s">
        <v>128</v>
      </c>
      <c r="B37" s="50"/>
      <c r="E37" s="64" t="s">
        <v>258</v>
      </c>
      <c r="F37" s="98"/>
      <c r="G37" s="99"/>
      <c r="H37" s="98"/>
      <c r="I37" s="34"/>
    </row>
    <row r="38" spans="1:9" x14ac:dyDescent="0.2">
      <c r="A38" s="13" t="s">
        <v>300</v>
      </c>
      <c r="B38" s="43" t="s">
        <v>144</v>
      </c>
      <c r="C38" s="75"/>
      <c r="D38" s="51"/>
      <c r="E38" s="64" t="s">
        <v>259</v>
      </c>
      <c r="F38" s="98"/>
      <c r="G38" s="99"/>
      <c r="H38" s="98"/>
      <c r="I38" s="34"/>
    </row>
    <row r="39" spans="1:9" x14ac:dyDescent="0.2">
      <c r="A39" s="13" t="s">
        <v>236</v>
      </c>
      <c r="B39" s="43" t="s">
        <v>138</v>
      </c>
      <c r="C39" s="49"/>
      <c r="D39" s="51"/>
      <c r="E39" s="64" t="s">
        <v>260</v>
      </c>
      <c r="F39" s="98"/>
      <c r="G39" s="99"/>
      <c r="H39" s="98"/>
      <c r="I39" s="34"/>
    </row>
    <row r="40" spans="1:9" x14ac:dyDescent="0.2">
      <c r="A40" s="13" t="s">
        <v>159</v>
      </c>
      <c r="B40" s="43" t="s">
        <v>153</v>
      </c>
      <c r="C40" s="49"/>
      <c r="D40" s="51"/>
      <c r="E40" s="64" t="s">
        <v>261</v>
      </c>
      <c r="F40" s="98"/>
      <c r="G40" s="99"/>
      <c r="H40" s="98"/>
      <c r="I40" s="34"/>
    </row>
    <row r="41" spans="1:9" x14ac:dyDescent="0.2">
      <c r="A41" s="13" t="s">
        <v>140</v>
      </c>
      <c r="B41" s="43" t="s">
        <v>229</v>
      </c>
      <c r="C41" s="49"/>
      <c r="D41" s="51"/>
      <c r="E41" s="64" t="s">
        <v>262</v>
      </c>
      <c r="F41" s="98"/>
      <c r="G41" s="99"/>
      <c r="H41" s="98"/>
      <c r="I41" s="34"/>
    </row>
    <row r="42" spans="1:9" x14ac:dyDescent="0.2">
      <c r="A42" s="59" t="s">
        <v>248</v>
      </c>
      <c r="B42" s="43" t="s">
        <v>249</v>
      </c>
      <c r="C42" s="49"/>
      <c r="D42"/>
      <c r="E42" s="64" t="s">
        <v>263</v>
      </c>
      <c r="F42" s="98"/>
      <c r="G42" s="99"/>
      <c r="H42" s="98"/>
      <c r="I42" s="34"/>
    </row>
    <row r="43" spans="1:9" x14ac:dyDescent="0.2">
      <c r="A43" s="59" t="s">
        <v>424</v>
      </c>
      <c r="B43" s="43" t="s">
        <v>598</v>
      </c>
      <c r="C43" s="49"/>
      <c r="D43"/>
      <c r="E43" s="64" t="s">
        <v>264</v>
      </c>
      <c r="F43" s="98"/>
      <c r="G43" s="99"/>
      <c r="H43" s="98"/>
      <c r="I43" s="34"/>
    </row>
    <row r="44" spans="1:9" x14ac:dyDescent="0.2">
      <c r="A44"/>
      <c r="B44"/>
      <c r="C44"/>
      <c r="D44"/>
      <c r="E44" s="64" t="s">
        <v>265</v>
      </c>
      <c r="F44" s="98"/>
      <c r="G44" s="99"/>
      <c r="H44" s="98"/>
      <c r="I44" s="34"/>
    </row>
    <row r="45" spans="1:9" x14ac:dyDescent="0.2">
      <c r="A45" s="47" t="s">
        <v>129</v>
      </c>
      <c r="B45" s="57" t="s">
        <v>2</v>
      </c>
      <c r="C45" s="58"/>
      <c r="D45"/>
      <c r="E45" s="64" t="s">
        <v>266</v>
      </c>
      <c r="F45" s="98"/>
      <c r="G45" s="99"/>
      <c r="H45" s="98"/>
      <c r="I45" s="34"/>
    </row>
    <row r="46" spans="1:9" x14ac:dyDescent="0.2">
      <c r="A46" s="13" t="s">
        <v>221</v>
      </c>
      <c r="B46" s="93" t="s">
        <v>222</v>
      </c>
      <c r="C46" s="94"/>
      <c r="D46"/>
      <c r="E46" s="64" t="s">
        <v>267</v>
      </c>
      <c r="F46" s="98"/>
      <c r="G46" s="99"/>
      <c r="H46" s="98"/>
      <c r="I46" s="34"/>
    </row>
    <row r="47" spans="1:9" x14ac:dyDescent="0.2">
      <c r="A47" s="13" t="s">
        <v>223</v>
      </c>
      <c r="B47" s="93" t="s">
        <v>240</v>
      </c>
      <c r="C47" s="45"/>
      <c r="D47"/>
      <c r="E47" s="64" t="s">
        <v>268</v>
      </c>
      <c r="F47" s="98"/>
      <c r="G47" s="99"/>
      <c r="H47" s="98"/>
      <c r="I47" s="34"/>
    </row>
    <row r="48" spans="1:9" x14ac:dyDescent="0.2">
      <c r="A48" s="13" t="s">
        <v>225</v>
      </c>
      <c r="B48" s="93" t="s">
        <v>239</v>
      </c>
      <c r="C48" s="45"/>
      <c r="D48"/>
      <c r="E48" s="64" t="s">
        <v>269</v>
      </c>
      <c r="F48" s="98"/>
      <c r="G48" s="99"/>
      <c r="H48" s="98"/>
      <c r="I48" s="34"/>
    </row>
    <row r="49" spans="1:9" x14ac:dyDescent="0.2">
      <c r="A49" s="13" t="s">
        <v>223</v>
      </c>
      <c r="B49" s="93" t="s">
        <v>0</v>
      </c>
      <c r="C49" s="45"/>
      <c r="D49"/>
      <c r="E49" s="64" t="s">
        <v>270</v>
      </c>
      <c r="F49" s="98"/>
      <c r="G49" s="99"/>
      <c r="H49" s="98"/>
      <c r="I49" s="34"/>
    </row>
    <row r="50" spans="1:9" x14ac:dyDescent="0.2">
      <c r="A50" s="13" t="s">
        <v>228</v>
      </c>
      <c r="B50" s="93" t="s">
        <v>1</v>
      </c>
      <c r="C50" s="45"/>
      <c r="D50"/>
      <c r="E50" s="64" t="s">
        <v>271</v>
      </c>
      <c r="F50" s="98"/>
      <c r="G50" s="99"/>
      <c r="H50" s="98"/>
      <c r="I50" s="34"/>
    </row>
    <row r="51" spans="1:9" x14ac:dyDescent="0.2">
      <c r="A51" s="93"/>
      <c r="B51" s="96"/>
      <c r="C51" s="45"/>
      <c r="D51"/>
      <c r="E51" s="64" t="s">
        <v>272</v>
      </c>
      <c r="F51" s="98"/>
      <c r="G51" s="99"/>
      <c r="H51" s="98"/>
      <c r="I51" s="34"/>
    </row>
    <row r="52" spans="1:9" x14ac:dyDescent="0.2">
      <c r="A52" s="47" t="s">
        <v>129</v>
      </c>
      <c r="B52" s="57" t="s">
        <v>427</v>
      </c>
      <c r="C52" s="58"/>
      <c r="D52"/>
      <c r="E52" s="64" t="s">
        <v>273</v>
      </c>
      <c r="F52" s="98"/>
      <c r="G52" s="99"/>
      <c r="H52" s="98"/>
      <c r="I52" s="34"/>
    </row>
    <row r="53" spans="1:9" x14ac:dyDescent="0.2">
      <c r="A53" s="13" t="s">
        <v>221</v>
      </c>
      <c r="B53" s="93" t="s">
        <v>222</v>
      </c>
      <c r="C53" s="94"/>
      <c r="D53"/>
      <c r="E53" s="64" t="s">
        <v>274</v>
      </c>
      <c r="F53" s="98"/>
      <c r="G53" s="99"/>
      <c r="H53" s="98"/>
      <c r="I53" s="34"/>
    </row>
    <row r="54" spans="1:9" s="51" customFormat="1" x14ac:dyDescent="0.2">
      <c r="A54" s="13" t="s">
        <v>3</v>
      </c>
      <c r="B54" s="93" t="s">
        <v>240</v>
      </c>
      <c r="C54" s="45"/>
      <c r="D54"/>
      <c r="E54" s="119" t="s">
        <v>275</v>
      </c>
      <c r="F54" s="98"/>
      <c r="G54" s="99"/>
      <c r="H54" s="98"/>
    </row>
    <row r="55" spans="1:9" x14ac:dyDescent="0.2">
      <c r="A55" s="13" t="s">
        <v>225</v>
      </c>
      <c r="B55" s="93" t="s">
        <v>421</v>
      </c>
      <c r="C55" s="45"/>
      <c r="D55"/>
      <c r="E55" s="64" t="s">
        <v>276</v>
      </c>
      <c r="F55" s="98"/>
      <c r="G55" s="99"/>
      <c r="H55" s="98"/>
      <c r="I55" s="34"/>
    </row>
    <row r="56" spans="1:9" x14ac:dyDescent="0.2">
      <c r="A56" s="13" t="s">
        <v>3</v>
      </c>
      <c r="B56" s="93" t="s">
        <v>0</v>
      </c>
      <c r="C56" s="45"/>
      <c r="D56"/>
      <c r="E56" s="64" t="s">
        <v>277</v>
      </c>
      <c r="F56" s="98"/>
      <c r="G56" s="99"/>
      <c r="H56" s="98"/>
      <c r="I56" s="34"/>
    </row>
    <row r="57" spans="1:9" x14ac:dyDescent="0.2">
      <c r="A57" s="13" t="s">
        <v>225</v>
      </c>
      <c r="B57" s="93" t="s">
        <v>420</v>
      </c>
      <c r="C57" s="45"/>
      <c r="D57"/>
      <c r="E57" s="64" t="s">
        <v>278</v>
      </c>
      <c r="F57" s="98"/>
      <c r="G57" s="99"/>
      <c r="H57" s="98"/>
      <c r="I57" s="34"/>
    </row>
    <row r="58" spans="1:9" x14ac:dyDescent="0.2">
      <c r="A58" s="96"/>
      <c r="B58" s="96"/>
      <c r="C58" s="96"/>
      <c r="D58"/>
      <c r="E58" s="64" t="s">
        <v>279</v>
      </c>
      <c r="F58" s="98"/>
      <c r="G58" s="99"/>
      <c r="H58" s="98"/>
      <c r="I58" s="34"/>
    </row>
    <row r="59" spans="1:9" x14ac:dyDescent="0.2">
      <c r="A59" s="47" t="s">
        <v>129</v>
      </c>
      <c r="B59" s="57" t="s">
        <v>423</v>
      </c>
      <c r="C59" s="58"/>
      <c r="D59"/>
      <c r="E59" s="64" t="s">
        <v>280</v>
      </c>
      <c r="F59" s="98"/>
      <c r="G59" s="99"/>
      <c r="H59" s="98"/>
      <c r="I59" s="34"/>
    </row>
    <row r="60" spans="1:9" x14ac:dyDescent="0.2">
      <c r="A60" s="13" t="s">
        <v>221</v>
      </c>
      <c r="B60" s="93" t="s">
        <v>222</v>
      </c>
      <c r="C60" s="94"/>
      <c r="D60"/>
      <c r="E60" s="64"/>
      <c r="F60" s="98"/>
      <c r="G60" s="99"/>
      <c r="H60" s="98"/>
      <c r="I60" s="34"/>
    </row>
    <row r="61" spans="1:9" s="51" customFormat="1" x14ac:dyDescent="0.2">
      <c r="A61" s="13" t="s">
        <v>3</v>
      </c>
      <c r="B61" s="93" t="s">
        <v>240</v>
      </c>
      <c r="C61" s="45"/>
      <c r="D61"/>
      <c r="E61" s="119" t="s">
        <v>281</v>
      </c>
      <c r="F61" s="98"/>
      <c r="G61" s="99"/>
      <c r="H61" s="98"/>
    </row>
    <row r="62" spans="1:9" x14ac:dyDescent="0.2">
      <c r="A62" s="13" t="s">
        <v>225</v>
      </c>
      <c r="B62" s="93" t="s">
        <v>425</v>
      </c>
      <c r="C62" s="45"/>
      <c r="D62"/>
      <c r="E62" s="64" t="s">
        <v>282</v>
      </c>
      <c r="F62" s="98"/>
      <c r="G62" s="99"/>
      <c r="H62" s="98"/>
      <c r="I62" s="34"/>
    </row>
    <row r="63" spans="1:9" x14ac:dyDescent="0.2">
      <c r="A63" s="13" t="s">
        <v>3</v>
      </c>
      <c r="B63" s="93" t="s">
        <v>0</v>
      </c>
      <c r="C63" s="45"/>
      <c r="D63"/>
      <c r="E63" s="64" t="s">
        <v>283</v>
      </c>
      <c r="F63" s="98"/>
      <c r="G63" s="99"/>
      <c r="H63" s="98"/>
      <c r="I63" s="34"/>
    </row>
    <row r="64" spans="1:9" x14ac:dyDescent="0.2">
      <c r="A64" s="13" t="s">
        <v>225</v>
      </c>
      <c r="B64" s="93" t="s">
        <v>426</v>
      </c>
      <c r="C64" s="45"/>
      <c r="D64"/>
      <c r="E64" s="64" t="s">
        <v>284</v>
      </c>
      <c r="F64" s="98"/>
      <c r="G64" s="99"/>
      <c r="H64" s="98"/>
      <c r="I64" s="34"/>
    </row>
    <row r="65" spans="1:9" x14ac:dyDescent="0.2">
      <c r="A65" s="96"/>
      <c r="B65" s="96"/>
      <c r="C65" s="96"/>
      <c r="D65"/>
      <c r="E65" s="64" t="s">
        <v>280</v>
      </c>
      <c r="F65" s="98"/>
      <c r="G65" s="99"/>
      <c r="H65" s="98"/>
      <c r="I65" s="34"/>
    </row>
    <row r="66" spans="1:9" x14ac:dyDescent="0.2">
      <c r="A66" s="47" t="s">
        <v>129</v>
      </c>
      <c r="B66" s="57" t="s">
        <v>434</v>
      </c>
      <c r="C66" s="58"/>
      <c r="D66"/>
      <c r="E66" s="64" t="s">
        <v>285</v>
      </c>
      <c r="F66" s="98"/>
      <c r="G66" s="99"/>
      <c r="H66" s="98"/>
      <c r="I66" s="34"/>
    </row>
    <row r="67" spans="1:9" x14ac:dyDescent="0.2">
      <c r="A67" s="13" t="s">
        <v>221</v>
      </c>
      <c r="B67" s="93" t="s">
        <v>222</v>
      </c>
      <c r="C67" s="94"/>
      <c r="D67"/>
      <c r="E67" s="64" t="s">
        <v>286</v>
      </c>
      <c r="F67" s="98"/>
      <c r="G67" s="99"/>
      <c r="H67" s="98"/>
      <c r="I67" s="34"/>
    </row>
    <row r="68" spans="1:9" x14ac:dyDescent="0.2">
      <c r="A68" s="13" t="s">
        <v>3</v>
      </c>
      <c r="B68" s="93" t="s">
        <v>239</v>
      </c>
      <c r="C68" s="45"/>
      <c r="D68"/>
      <c r="E68" s="64" t="s">
        <v>280</v>
      </c>
      <c r="F68" s="98"/>
      <c r="G68" s="99"/>
      <c r="H68" s="98"/>
      <c r="I68" s="34"/>
    </row>
    <row r="69" spans="1:9" x14ac:dyDescent="0.2">
      <c r="A69" s="13" t="s">
        <v>225</v>
      </c>
      <c r="B69" s="93" t="s">
        <v>425</v>
      </c>
      <c r="C69" s="45"/>
      <c r="D69"/>
      <c r="E69" s="64"/>
      <c r="F69" s="98"/>
      <c r="G69" s="99"/>
      <c r="H69" s="98"/>
      <c r="I69" s="34"/>
    </row>
    <row r="70" spans="1:9" x14ac:dyDescent="0.2">
      <c r="A70" s="13" t="s">
        <v>3</v>
      </c>
      <c r="B70" s="93" t="s">
        <v>435</v>
      </c>
      <c r="C70" s="45"/>
      <c r="D70"/>
      <c r="E70" s="64" t="s">
        <v>287</v>
      </c>
      <c r="F70" s="98"/>
      <c r="G70" s="99"/>
      <c r="H70" s="98"/>
      <c r="I70" s="34"/>
    </row>
    <row r="71" spans="1:9" x14ac:dyDescent="0.2">
      <c r="A71" s="13" t="s">
        <v>225</v>
      </c>
      <c r="B71" s="93" t="s">
        <v>436</v>
      </c>
      <c r="C71" s="45"/>
      <c r="D71"/>
      <c r="E71" s="64" t="s">
        <v>288</v>
      </c>
      <c r="F71" s="98"/>
      <c r="G71" s="99"/>
      <c r="H71" s="98"/>
      <c r="I71" s="34"/>
    </row>
    <row r="72" spans="1:9" x14ac:dyDescent="0.2">
      <c r="A72" s="96"/>
      <c r="B72" s="96"/>
      <c r="C72" s="96"/>
      <c r="D72"/>
      <c r="E72" s="64"/>
      <c r="F72" s="98"/>
      <c r="G72" s="99"/>
      <c r="H72" s="98"/>
      <c r="I72" s="34"/>
    </row>
    <row r="73" spans="1:9" x14ac:dyDescent="0.2">
      <c r="A73" s="47" t="s">
        <v>129</v>
      </c>
      <c r="B73" s="57" t="s">
        <v>428</v>
      </c>
      <c r="C73" s="58"/>
      <c r="D73"/>
      <c r="E73" s="64"/>
      <c r="F73" s="98"/>
      <c r="G73" s="99"/>
      <c r="H73" s="98"/>
      <c r="I73" s="34"/>
    </row>
    <row r="74" spans="1:9" x14ac:dyDescent="0.2">
      <c r="A74" s="13" t="s">
        <v>221</v>
      </c>
      <c r="B74" s="93" t="s">
        <v>222</v>
      </c>
      <c r="C74" s="94"/>
      <c r="D74"/>
      <c r="E74" s="64"/>
      <c r="F74" s="98"/>
      <c r="G74" s="99"/>
      <c r="H74" s="98"/>
      <c r="I74" s="34"/>
    </row>
    <row r="75" spans="1:9" x14ac:dyDescent="0.2">
      <c r="A75" s="13" t="s">
        <v>223</v>
      </c>
      <c r="B75" s="93" t="s">
        <v>430</v>
      </c>
      <c r="C75" s="45"/>
      <c r="D75"/>
      <c r="E75" s="64"/>
      <c r="F75" s="98"/>
      <c r="G75" s="99"/>
      <c r="H75" s="98"/>
      <c r="I75" s="34"/>
    </row>
    <row r="76" spans="1:9" x14ac:dyDescent="0.2">
      <c r="A76" s="13" t="s">
        <v>225</v>
      </c>
      <c r="B76" s="93" t="s">
        <v>431</v>
      </c>
      <c r="C76" s="45"/>
      <c r="D76"/>
      <c r="E76" s="64"/>
      <c r="F76" s="98"/>
      <c r="G76" s="99"/>
      <c r="H76" s="98"/>
      <c r="I76" s="34"/>
    </row>
    <row r="77" spans="1:9" x14ac:dyDescent="0.2">
      <c r="A77" s="13" t="s">
        <v>223</v>
      </c>
      <c r="B77" s="93" t="s">
        <v>298</v>
      </c>
      <c r="C77" s="45"/>
      <c r="D77"/>
      <c r="E77" s="64"/>
      <c r="F77" s="98"/>
      <c r="G77" s="99"/>
      <c r="H77" s="98"/>
      <c r="I77" s="34"/>
    </row>
    <row r="78" spans="1:9" x14ac:dyDescent="0.2">
      <c r="A78" s="13" t="s">
        <v>228</v>
      </c>
      <c r="B78" s="93" t="s">
        <v>432</v>
      </c>
      <c r="C78" s="45"/>
      <c r="D78"/>
      <c r="E78" s="64"/>
      <c r="F78" s="98"/>
      <c r="G78" s="99"/>
      <c r="H78" s="98"/>
      <c r="I78" s="34"/>
    </row>
    <row r="79" spans="1:9" x14ac:dyDescent="0.2">
      <c r="A79" s="13" t="s">
        <v>223</v>
      </c>
      <c r="B79" s="93" t="s">
        <v>299</v>
      </c>
      <c r="C79" s="45"/>
      <c r="D79"/>
      <c r="E79" s="64"/>
      <c r="F79" s="98"/>
      <c r="G79" s="99"/>
      <c r="H79" s="98"/>
      <c r="I79" s="34"/>
    </row>
    <row r="80" spans="1:9" x14ac:dyDescent="0.2">
      <c r="A80" s="13" t="s">
        <v>228</v>
      </c>
      <c r="B80" s="93" t="s">
        <v>433</v>
      </c>
      <c r="C80" s="45"/>
      <c r="D80"/>
      <c r="E80" s="64"/>
      <c r="F80" s="34"/>
      <c r="G80" s="113"/>
      <c r="H80" s="34"/>
      <c r="I80" s="34"/>
    </row>
    <row r="81" spans="1:9" x14ac:dyDescent="0.2">
      <c r="A81" s="13" t="s">
        <v>3</v>
      </c>
      <c r="B81" s="93" t="s">
        <v>421</v>
      </c>
      <c r="C81" s="45"/>
      <c r="D81"/>
      <c r="E81" s="64"/>
      <c r="F81" s="34"/>
      <c r="G81" s="113"/>
      <c r="H81" s="34"/>
      <c r="I81" s="34"/>
    </row>
    <row r="82" spans="1:9" x14ac:dyDescent="0.2">
      <c r="A82" s="13" t="s">
        <v>225</v>
      </c>
      <c r="B82" s="93" t="s">
        <v>425</v>
      </c>
      <c r="C82" s="45"/>
      <c r="D82"/>
      <c r="E82" s="64"/>
      <c r="F82" s="34"/>
      <c r="G82" s="113"/>
      <c r="H82" s="34"/>
      <c r="I82" s="34"/>
    </row>
    <row r="83" spans="1:9" x14ac:dyDescent="0.2">
      <c r="A83" s="13" t="s">
        <v>3</v>
      </c>
      <c r="B83" s="93" t="s">
        <v>420</v>
      </c>
      <c r="C83" s="45"/>
      <c r="D83"/>
      <c r="E83" s="64"/>
      <c r="F83" s="34"/>
      <c r="G83" s="113"/>
      <c r="H83" s="34"/>
      <c r="I83" s="34"/>
    </row>
    <row r="84" spans="1:9" x14ac:dyDescent="0.2">
      <c r="A84" s="13" t="s">
        <v>225</v>
      </c>
      <c r="B84" s="93" t="s">
        <v>426</v>
      </c>
      <c r="C84" s="45"/>
      <c r="D84"/>
      <c r="E84" s="64"/>
      <c r="F84" s="34"/>
      <c r="G84" s="113"/>
      <c r="H84" s="34"/>
      <c r="I84" s="34"/>
    </row>
    <row r="85" spans="1:9" x14ac:dyDescent="0.2">
      <c r="A85" s="96"/>
      <c r="B85" s="96"/>
      <c r="C85" s="96"/>
      <c r="D85"/>
      <c r="E85" s="64"/>
      <c r="F85" s="34"/>
      <c r="G85" s="113"/>
      <c r="H85" s="34"/>
      <c r="I85" s="34"/>
    </row>
    <row r="86" spans="1:9" x14ac:dyDescent="0.2">
      <c r="A86" s="96"/>
      <c r="B86" s="96"/>
      <c r="C86" s="96"/>
      <c r="D86"/>
      <c r="E86" s="64"/>
      <c r="F86" s="34"/>
      <c r="G86" s="113"/>
      <c r="H86" s="34"/>
      <c r="I86" s="34"/>
    </row>
    <row r="87" spans="1:9" x14ac:dyDescent="0.2">
      <c r="A87" s="47" t="s">
        <v>129</v>
      </c>
      <c r="B87" s="57" t="s">
        <v>429</v>
      </c>
      <c r="C87" s="58"/>
      <c r="D87"/>
      <c r="E87" s="64"/>
      <c r="F87" s="34"/>
      <c r="G87" s="113"/>
      <c r="H87" s="34"/>
      <c r="I87" s="34"/>
    </row>
    <row r="88" spans="1:9" x14ac:dyDescent="0.2">
      <c r="A88" s="13" t="s">
        <v>221</v>
      </c>
      <c r="B88" s="93" t="s">
        <v>222</v>
      </c>
      <c r="C88" s="94"/>
      <c r="D88"/>
      <c r="E88" s="64"/>
      <c r="F88" s="34"/>
      <c r="G88" s="113"/>
      <c r="H88" s="34"/>
      <c r="I88" s="34"/>
    </row>
    <row r="89" spans="1:9" x14ac:dyDescent="0.2">
      <c r="A89" s="13" t="s">
        <v>223</v>
      </c>
      <c r="B89" s="93" t="s">
        <v>224</v>
      </c>
      <c r="C89" s="45"/>
      <c r="D89"/>
      <c r="E89" s="64"/>
      <c r="F89" s="34"/>
      <c r="G89" s="113"/>
      <c r="H89" s="34"/>
      <c r="I89" s="34"/>
    </row>
    <row r="90" spans="1:9" x14ac:dyDescent="0.2">
      <c r="A90" s="13" t="s">
        <v>225</v>
      </c>
      <c r="B90" s="93" t="s">
        <v>430</v>
      </c>
      <c r="C90" s="45"/>
      <c r="D90"/>
      <c r="E90" s="64"/>
      <c r="F90" s="34"/>
      <c r="G90" s="113"/>
      <c r="H90" s="34"/>
      <c r="I90" s="34"/>
    </row>
    <row r="91" spans="1:9" x14ac:dyDescent="0.2">
      <c r="A91" s="13" t="s">
        <v>223</v>
      </c>
      <c r="B91" s="93" t="s">
        <v>226</v>
      </c>
      <c r="C91" s="45"/>
      <c r="D91"/>
      <c r="E91" s="64"/>
      <c r="F91" s="34"/>
      <c r="G91" s="113"/>
      <c r="H91" s="34"/>
      <c r="I91" s="34"/>
    </row>
    <row r="92" spans="1:9" x14ac:dyDescent="0.2">
      <c r="A92" s="13" t="s">
        <v>228</v>
      </c>
      <c r="B92" s="93" t="s">
        <v>298</v>
      </c>
      <c r="C92" s="45"/>
      <c r="D92"/>
      <c r="E92" s="64"/>
      <c r="F92" s="34"/>
      <c r="G92" s="113"/>
    </row>
    <row r="93" spans="1:9" x14ac:dyDescent="0.2">
      <c r="A93" s="13" t="s">
        <v>223</v>
      </c>
      <c r="B93" s="93" t="s">
        <v>227</v>
      </c>
      <c r="C93" s="45"/>
      <c r="D93"/>
      <c r="E93" s="64"/>
      <c r="F93" s="34"/>
      <c r="G93" s="113"/>
    </row>
    <row r="94" spans="1:9" x14ac:dyDescent="0.2">
      <c r="A94" s="13" t="s">
        <v>228</v>
      </c>
      <c r="B94" s="93" t="s">
        <v>299</v>
      </c>
      <c r="C94" s="45"/>
      <c r="D94"/>
      <c r="E94" s="64"/>
      <c r="F94" s="34"/>
      <c r="G94" s="113"/>
    </row>
    <row r="95" spans="1:9" x14ac:dyDescent="0.2">
      <c r="A95" s="32"/>
      <c r="B95" s="32"/>
      <c r="C95" s="32"/>
      <c r="D95"/>
      <c r="E95" s="114"/>
      <c r="F95" s="115"/>
      <c r="G95" s="116"/>
    </row>
    <row r="96" spans="1:9" x14ac:dyDescent="0.2">
      <c r="A96" s="60" t="s">
        <v>130</v>
      </c>
      <c r="B96" s="61"/>
      <c r="C96" s="58"/>
      <c r="D96"/>
    </row>
    <row r="97" spans="1:4" x14ac:dyDescent="0.2">
      <c r="A97" s="93" t="s">
        <v>235</v>
      </c>
      <c r="B97" s="96"/>
      <c r="C97" s="45"/>
      <c r="D97"/>
    </row>
    <row r="98" spans="1:4" x14ac:dyDescent="0.2">
      <c r="A98" s="93" t="s">
        <v>411</v>
      </c>
      <c r="B98" s="96"/>
      <c r="C98" s="45"/>
      <c r="D98"/>
    </row>
    <row r="99" spans="1:4" x14ac:dyDescent="0.2">
      <c r="A99" s="93" t="s">
        <v>412</v>
      </c>
      <c r="B99" s="96"/>
      <c r="C99" s="45"/>
      <c r="D99"/>
    </row>
    <row r="100" spans="1:4" x14ac:dyDescent="0.2">
      <c r="A100" s="93" t="s">
        <v>413</v>
      </c>
      <c r="B100" s="96"/>
      <c r="C100" s="45"/>
      <c r="D100"/>
    </row>
    <row r="101" spans="1:4" x14ac:dyDescent="0.2">
      <c r="A101" s="93"/>
      <c r="B101" s="96"/>
      <c r="C101" s="45"/>
      <c r="D101"/>
    </row>
    <row r="102" spans="1:4" x14ac:dyDescent="0.2">
      <c r="A102" s="108" t="s">
        <v>414</v>
      </c>
      <c r="B102" s="53"/>
      <c r="C102" s="92"/>
      <c r="D102"/>
    </row>
    <row r="103" spans="1:4" x14ac:dyDescent="0.2">
      <c r="A103" s="108" t="s">
        <v>417</v>
      </c>
      <c r="B103" s="53"/>
      <c r="C103" s="92"/>
      <c r="D103"/>
    </row>
    <row r="104" spans="1:4" x14ac:dyDescent="0.2">
      <c r="A104" s="155" t="s">
        <v>418</v>
      </c>
      <c r="B104" s="55"/>
      <c r="C104" s="12"/>
      <c r="D104"/>
    </row>
    <row r="105" spans="1:4" x14ac:dyDescent="0.2">
      <c r="A105" s="66" t="s">
        <v>415</v>
      </c>
      <c r="B105" s="55"/>
      <c r="C105" s="12"/>
      <c r="D105"/>
    </row>
    <row r="106" spans="1:4" x14ac:dyDescent="0.2">
      <c r="A106" s="93" t="s">
        <v>416</v>
      </c>
      <c r="B106" s="96"/>
      <c r="C106" s="45"/>
    </row>
    <row r="107" spans="1:4" x14ac:dyDescent="0.2">
      <c r="A107" s="93"/>
      <c r="B107" s="96"/>
      <c r="C107" s="45"/>
    </row>
  </sheetData>
  <mergeCells count="2">
    <mergeCell ref="F2:G2"/>
    <mergeCell ref="C2:D2"/>
  </mergeCells>
  <phoneticPr fontId="5"/>
  <pageMargins left="0.39370078740157483" right="0.39370078740157483" top="0.98425196850393704" bottom="0.98425196850393704" header="0.51181102362204722" footer="0.51181102362204722"/>
  <pageSetup paperSize="9" scale="52" orientation="landscape" verticalDpi="300" r:id="rId1"/>
  <headerFooter alignWithMargins="0"/>
  <colBreaks count="1" manualBreakCount="1">
    <brk id="8" max="4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C74E-3388-473E-92F8-840B103D8248}">
  <sheetPr codeName="Sheet27"/>
  <dimension ref="A1:J155"/>
  <sheetViews>
    <sheetView tabSelected="1" view="pageBreakPreview" zoomScale="85" zoomScaleNormal="85" zoomScaleSheetLayoutView="100" workbookViewId="0">
      <pane ySplit="2" topLeftCell="A24" activePane="bottomLeft" state="frozen"/>
      <selection activeCell="B17" sqref="B17"/>
      <selection pane="bottomLeft" activeCell="G45" sqref="G45"/>
    </sheetView>
  </sheetViews>
  <sheetFormatPr defaultColWidth="9" defaultRowHeight="13" x14ac:dyDescent="0.2"/>
  <cols>
    <col min="1" max="1" width="22.90625" style="2" customWidth="1"/>
    <col min="2" max="2" width="21.36328125" style="2" customWidth="1"/>
    <col min="3" max="3" width="13.90625" style="2" customWidth="1"/>
    <col min="4" max="4" width="11.7265625" style="2" customWidth="1"/>
    <col min="5" max="5" width="18" style="2" customWidth="1"/>
    <col min="6" max="6" width="13.453125" style="2" customWidth="1"/>
    <col min="7" max="7" width="55.36328125" style="2" customWidth="1"/>
    <col min="8" max="8" width="17.7265625" style="2" customWidth="1"/>
    <col min="9" max="16384" width="9" style="2"/>
  </cols>
  <sheetData>
    <row r="1" spans="1:10" s="25" customFormat="1" ht="30" customHeight="1" thickBot="1" x14ac:dyDescent="0.25">
      <c r="A1" s="22"/>
    </row>
    <row r="2" spans="1:10" s="26" customFormat="1" ht="24" customHeight="1" x14ac:dyDescent="0.25">
      <c r="A2" s="23" t="s">
        <v>122</v>
      </c>
      <c r="C2" s="242" t="str">
        <f>'設定＆実行'!C2:D2</f>
        <v>管理番号：DN-030103-019.01
分類　　　：開発標準化</v>
      </c>
      <c r="D2" s="242"/>
      <c r="E2" s="255" t="s">
        <v>761</v>
      </c>
      <c r="F2" s="255"/>
      <c r="G2" s="243" t="str">
        <f>'設定＆実行'!H2</f>
        <v>作成者：ASPAC 衣川
作成日：2006/12/19</v>
      </c>
      <c r="H2" s="243"/>
      <c r="I2" s="24"/>
      <c r="J2" s="24"/>
    </row>
    <row r="3" spans="1:10" ht="25.5" customHeight="1" x14ac:dyDescent="0.35">
      <c r="A3" s="1" t="s">
        <v>515</v>
      </c>
    </row>
    <row r="5" spans="1:10" ht="14.25" customHeight="1" x14ac:dyDescent="0.2">
      <c r="A5" s="9" t="s">
        <v>598</v>
      </c>
      <c r="B5" s="14"/>
    </row>
    <row r="7" spans="1:10" x14ac:dyDescent="0.2">
      <c r="A7" s="2" t="s">
        <v>202</v>
      </c>
    </row>
    <row r="9" spans="1:10" ht="14.25" customHeight="1" x14ac:dyDescent="0.2">
      <c r="A9" s="3" t="s">
        <v>507</v>
      </c>
    </row>
    <row r="10" spans="1:10" x14ac:dyDescent="0.2">
      <c r="A10" s="80"/>
    </row>
    <row r="11" spans="1:10" x14ac:dyDescent="0.2">
      <c r="A11" s="15" t="s">
        <v>27</v>
      </c>
      <c r="B11" s="16" t="s">
        <v>62</v>
      </c>
      <c r="C11" s="16" t="s">
        <v>63</v>
      </c>
      <c r="D11" s="16" t="s">
        <v>64</v>
      </c>
      <c r="E11" s="16" t="s">
        <v>65</v>
      </c>
      <c r="F11" s="16" t="s">
        <v>124</v>
      </c>
      <c r="G11" s="62" t="s">
        <v>66</v>
      </c>
      <c r="H11" s="64"/>
    </row>
    <row r="12" spans="1:10" x14ac:dyDescent="0.2">
      <c r="A12" s="11" t="str">
        <f>IF(ISERROR(FIND("_",E12)),LOWER(E12),CONCATENATE(LOWER(LEFT(E12,(FIND("_",E12))-1)),SUBSTITUTE(PROPER(LOWER(RIGHT(E12,LEN(E12)-FIND("_",E12)))),"_","")))</f>
        <v>sibuCd</v>
      </c>
      <c r="B12" s="78" t="s">
        <v>38</v>
      </c>
      <c r="C12" s="79" t="s">
        <v>185</v>
      </c>
      <c r="D12" s="12" t="s">
        <v>28</v>
      </c>
      <c r="E12" s="68" t="s">
        <v>32</v>
      </c>
      <c r="F12" s="69" t="s">
        <v>36</v>
      </c>
      <c r="G12" s="59"/>
      <c r="H12" s="64"/>
    </row>
    <row r="13" spans="1:10" x14ac:dyDescent="0.2">
      <c r="A13" s="11" t="str">
        <f t="shared" ref="A13:A58" si="0">IF(ISERROR(FIND("_",E13)),LOWER(E13),CONCATENATE(LOWER(LEFT(E13,(FIND("_",E13))-1)),SUBSTITUTE(PROPER(LOWER(RIGHT(E13,LEN(E13)-FIND("_",E13)))),"_","")))</f>
        <v>sibuName</v>
      </c>
      <c r="B13" s="78" t="s">
        <v>39</v>
      </c>
      <c r="C13" s="79" t="s">
        <v>185</v>
      </c>
      <c r="D13" s="12" t="s">
        <v>33</v>
      </c>
      <c r="E13" s="68" t="s">
        <v>93</v>
      </c>
      <c r="F13" s="69" t="s">
        <v>54</v>
      </c>
      <c r="G13" s="59"/>
      <c r="H13" s="64"/>
    </row>
    <row r="14" spans="1:10" x14ac:dyDescent="0.2">
      <c r="A14" s="11" t="str">
        <f t="shared" si="0"/>
        <v>onerCd</v>
      </c>
      <c r="B14" s="78" t="s">
        <v>24</v>
      </c>
      <c r="C14" s="79" t="s">
        <v>185</v>
      </c>
      <c r="D14" s="12" t="s">
        <v>28</v>
      </c>
      <c r="E14" s="68" t="s">
        <v>29</v>
      </c>
      <c r="F14" s="69" t="s">
        <v>36</v>
      </c>
      <c r="G14" s="59"/>
      <c r="H14" s="64"/>
    </row>
    <row r="15" spans="1:10" x14ac:dyDescent="0.2">
      <c r="A15" s="11" t="str">
        <f t="shared" si="0"/>
        <v>onerNameKj</v>
      </c>
      <c r="B15" s="78" t="s">
        <v>40</v>
      </c>
      <c r="C15" s="79" t="s">
        <v>185</v>
      </c>
      <c r="D15" s="12" t="s">
        <v>30</v>
      </c>
      <c r="E15" s="68" t="s">
        <v>31</v>
      </c>
      <c r="F15" s="69" t="s">
        <v>169</v>
      </c>
      <c r="G15" s="63"/>
      <c r="H15" s="64"/>
    </row>
    <row r="16" spans="1:10" x14ac:dyDescent="0.2">
      <c r="A16" s="11" t="str">
        <f t="shared" si="0"/>
        <v>seqNo</v>
      </c>
      <c r="B16" s="78" t="s">
        <v>625</v>
      </c>
      <c r="C16" s="79" t="s">
        <v>185</v>
      </c>
      <c r="D16" s="12" t="s">
        <v>60</v>
      </c>
      <c r="E16" s="68" t="s">
        <v>624</v>
      </c>
      <c r="F16" s="69" t="s">
        <v>599</v>
      </c>
      <c r="G16" s="63"/>
      <c r="H16" s="64"/>
    </row>
    <row r="17" spans="1:8" x14ac:dyDescent="0.2">
      <c r="A17" s="11" t="str">
        <f t="shared" si="0"/>
        <v>miseCd</v>
      </c>
      <c r="B17" s="78" t="s">
        <v>41</v>
      </c>
      <c r="C17" s="79" t="s">
        <v>185</v>
      </c>
      <c r="D17" s="12" t="s">
        <v>28</v>
      </c>
      <c r="E17" s="68" t="s">
        <v>34</v>
      </c>
      <c r="F17" s="69" t="s">
        <v>599</v>
      </c>
      <c r="G17" s="59"/>
      <c r="H17" s="64"/>
    </row>
    <row r="18" spans="1:8" x14ac:dyDescent="0.2">
      <c r="A18" s="11" t="str">
        <f t="shared" si="0"/>
        <v>miseNameKj</v>
      </c>
      <c r="B18" s="78" t="s">
        <v>42</v>
      </c>
      <c r="C18" s="79" t="s">
        <v>185</v>
      </c>
      <c r="D18" s="12" t="s">
        <v>33</v>
      </c>
      <c r="E18" s="68" t="s">
        <v>35</v>
      </c>
      <c r="F18" s="69" t="s">
        <v>36</v>
      </c>
      <c r="G18" s="59"/>
      <c r="H18" s="64"/>
    </row>
    <row r="19" spans="1:8" x14ac:dyDescent="0.2">
      <c r="A19" s="11" t="str">
        <f t="shared" si="0"/>
        <v>lNameKj</v>
      </c>
      <c r="B19" s="78" t="s">
        <v>43</v>
      </c>
      <c r="C19" s="79" t="s">
        <v>185</v>
      </c>
      <c r="D19" s="12" t="s">
        <v>59</v>
      </c>
      <c r="E19" s="68" t="s">
        <v>49</v>
      </c>
      <c r="F19" s="69" t="s">
        <v>599</v>
      </c>
      <c r="G19" s="59"/>
      <c r="H19" s="64"/>
    </row>
    <row r="20" spans="1:8" x14ac:dyDescent="0.2">
      <c r="A20" s="11" t="str">
        <f t="shared" si="0"/>
        <v>fNameKj</v>
      </c>
      <c r="B20" s="78" t="s">
        <v>44</v>
      </c>
      <c r="C20" s="79" t="s">
        <v>185</v>
      </c>
      <c r="D20" s="12" t="s">
        <v>59</v>
      </c>
      <c r="E20" s="68" t="s">
        <v>50</v>
      </c>
      <c r="F20" s="69" t="s">
        <v>599</v>
      </c>
      <c r="G20" s="182"/>
      <c r="H20" s="64"/>
    </row>
    <row r="21" spans="1:8" x14ac:dyDescent="0.2">
      <c r="A21" s="11" t="str">
        <f t="shared" si="0"/>
        <v>lNameKna</v>
      </c>
      <c r="B21" s="78" t="s">
        <v>45</v>
      </c>
      <c r="C21" s="79" t="s">
        <v>185</v>
      </c>
      <c r="D21" s="12" t="s">
        <v>52</v>
      </c>
      <c r="E21" s="68" t="s">
        <v>53</v>
      </c>
      <c r="F21" s="69" t="s">
        <v>599</v>
      </c>
      <c r="G21" s="182"/>
      <c r="H21" s="64"/>
    </row>
    <row r="22" spans="1:8" x14ac:dyDescent="0.2">
      <c r="A22" s="177" t="str">
        <f t="shared" si="0"/>
        <v>fNameKna</v>
      </c>
      <c r="B22" s="218" t="s">
        <v>46</v>
      </c>
      <c r="C22" s="219" t="s">
        <v>185</v>
      </c>
      <c r="D22" s="179" t="s">
        <v>52</v>
      </c>
      <c r="E22" s="68" t="s">
        <v>51</v>
      </c>
      <c r="F22" s="69" t="s">
        <v>599</v>
      </c>
      <c r="G22" s="182"/>
      <c r="H22" s="64"/>
    </row>
    <row r="23" spans="1:8" x14ac:dyDescent="0.2">
      <c r="A23" s="177" t="str">
        <f t="shared" si="0"/>
        <v>sex</v>
      </c>
      <c r="B23" s="218" t="s">
        <v>47</v>
      </c>
      <c r="C23" s="219" t="s">
        <v>185</v>
      </c>
      <c r="D23" s="179" t="s">
        <v>60</v>
      </c>
      <c r="E23" s="68" t="s">
        <v>37</v>
      </c>
      <c r="F23" s="69" t="s">
        <v>599</v>
      </c>
      <c r="G23" s="221" t="s">
        <v>61</v>
      </c>
      <c r="H23" s="64"/>
    </row>
    <row r="24" spans="1:8" x14ac:dyDescent="0.2">
      <c r="A24" s="177" t="str">
        <f t="shared" si="0"/>
        <v>birthday</v>
      </c>
      <c r="B24" s="218" t="s">
        <v>652</v>
      </c>
      <c r="C24" s="219" t="s">
        <v>21</v>
      </c>
      <c r="D24" s="186" t="s">
        <v>108</v>
      </c>
      <c r="E24" s="68" t="s">
        <v>644</v>
      </c>
      <c r="F24" s="69" t="s">
        <v>599</v>
      </c>
      <c r="G24" s="182" t="s">
        <v>653</v>
      </c>
      <c r="H24" s="64"/>
    </row>
    <row r="25" spans="1:8" x14ac:dyDescent="0.2">
      <c r="A25" s="177" t="str">
        <f t="shared" si="0"/>
        <v>age</v>
      </c>
      <c r="B25" s="218" t="s">
        <v>204</v>
      </c>
      <c r="C25" s="219" t="s">
        <v>185</v>
      </c>
      <c r="D25" s="179" t="s">
        <v>627</v>
      </c>
      <c r="E25" s="68" t="s">
        <v>203</v>
      </c>
      <c r="F25" s="69" t="s">
        <v>599</v>
      </c>
      <c r="G25" s="221"/>
      <c r="H25" s="64"/>
    </row>
    <row r="26" spans="1:8" x14ac:dyDescent="0.2">
      <c r="A26" s="177" t="str">
        <f t="shared" si="0"/>
        <v>jobType</v>
      </c>
      <c r="B26" s="218" t="s">
        <v>600</v>
      </c>
      <c r="C26" s="219" t="s">
        <v>185</v>
      </c>
      <c r="D26" s="179" t="s">
        <v>626</v>
      </c>
      <c r="E26" s="68" t="s">
        <v>633</v>
      </c>
      <c r="F26" s="69" t="s">
        <v>599</v>
      </c>
      <c r="G26" s="182" t="s">
        <v>630</v>
      </c>
      <c r="H26" s="64"/>
    </row>
    <row r="27" spans="1:8" x14ac:dyDescent="0.2">
      <c r="A27" s="177" t="str">
        <f t="shared" si="0"/>
        <v>proposeKbn</v>
      </c>
      <c r="B27" s="218" t="s">
        <v>601</v>
      </c>
      <c r="C27" s="219" t="s">
        <v>185</v>
      </c>
      <c r="D27" s="179" t="s">
        <v>628</v>
      </c>
      <c r="E27" s="68" t="s">
        <v>632</v>
      </c>
      <c r="F27" s="69" t="s">
        <v>599</v>
      </c>
      <c r="G27" s="182" t="s">
        <v>629</v>
      </c>
      <c r="H27" s="64"/>
    </row>
    <row r="28" spans="1:8" x14ac:dyDescent="0.2">
      <c r="A28" s="177" t="str">
        <f t="shared" si="0"/>
        <v>optional1</v>
      </c>
      <c r="B28" s="218" t="s">
        <v>602</v>
      </c>
      <c r="C28" s="219" t="s">
        <v>185</v>
      </c>
      <c r="D28" s="179" t="s">
        <v>612</v>
      </c>
      <c r="E28" s="68" t="s">
        <v>613</v>
      </c>
      <c r="F28" s="69" t="s">
        <v>599</v>
      </c>
      <c r="G28" s="182" t="s">
        <v>737</v>
      </c>
      <c r="H28" s="64"/>
    </row>
    <row r="29" spans="1:8" x14ac:dyDescent="0.2">
      <c r="A29" s="177" t="str">
        <f t="shared" si="0"/>
        <v>optional2</v>
      </c>
      <c r="B29" s="218" t="s">
        <v>603</v>
      </c>
      <c r="C29" s="219" t="s">
        <v>185</v>
      </c>
      <c r="D29" s="179" t="s">
        <v>612</v>
      </c>
      <c r="E29" s="68" t="s">
        <v>614</v>
      </c>
      <c r="F29" s="69" t="s">
        <v>623</v>
      </c>
      <c r="G29" s="182" t="s">
        <v>738</v>
      </c>
      <c r="H29" s="64"/>
    </row>
    <row r="30" spans="1:8" x14ac:dyDescent="0.2">
      <c r="A30" s="177" t="str">
        <f t="shared" si="0"/>
        <v>optional3</v>
      </c>
      <c r="B30" s="218" t="s">
        <v>604</v>
      </c>
      <c r="C30" s="219" t="s">
        <v>185</v>
      </c>
      <c r="D30" s="179" t="s">
        <v>612</v>
      </c>
      <c r="E30" s="68" t="s">
        <v>615</v>
      </c>
      <c r="F30" s="69" t="s">
        <v>599</v>
      </c>
      <c r="G30" s="182" t="s">
        <v>739</v>
      </c>
      <c r="H30" s="64"/>
    </row>
    <row r="31" spans="1:8" x14ac:dyDescent="0.2">
      <c r="A31" s="177" t="str">
        <f t="shared" si="0"/>
        <v>optional4</v>
      </c>
      <c r="B31" s="218" t="s">
        <v>605</v>
      </c>
      <c r="C31" s="219" t="s">
        <v>185</v>
      </c>
      <c r="D31" s="179" t="s">
        <v>612</v>
      </c>
      <c r="E31" s="68" t="s">
        <v>616</v>
      </c>
      <c r="F31" s="69" t="s">
        <v>599</v>
      </c>
      <c r="G31" s="182" t="s">
        <v>740</v>
      </c>
      <c r="H31" s="64"/>
    </row>
    <row r="32" spans="1:8" x14ac:dyDescent="0.2">
      <c r="A32" s="177" t="str">
        <f t="shared" si="0"/>
        <v>optional5</v>
      </c>
      <c r="B32" s="218" t="s">
        <v>606</v>
      </c>
      <c r="C32" s="219" t="s">
        <v>185</v>
      </c>
      <c r="D32" s="179" t="s">
        <v>612</v>
      </c>
      <c r="E32" s="68" t="s">
        <v>617</v>
      </c>
      <c r="F32" s="69" t="s">
        <v>599</v>
      </c>
      <c r="G32" s="182" t="s">
        <v>741</v>
      </c>
      <c r="H32" s="64"/>
    </row>
    <row r="33" spans="1:8" x14ac:dyDescent="0.2">
      <c r="A33" s="177" t="str">
        <f t="shared" si="0"/>
        <v>optional6</v>
      </c>
      <c r="B33" s="218" t="s">
        <v>607</v>
      </c>
      <c r="C33" s="219" t="s">
        <v>185</v>
      </c>
      <c r="D33" s="179" t="s">
        <v>612</v>
      </c>
      <c r="E33" s="68" t="s">
        <v>618</v>
      </c>
      <c r="F33" s="69" t="s">
        <v>599</v>
      </c>
      <c r="G33" s="182" t="s">
        <v>742</v>
      </c>
      <c r="H33" s="64"/>
    </row>
    <row r="34" spans="1:8" x14ac:dyDescent="0.2">
      <c r="A34" s="177" t="str">
        <f t="shared" si="0"/>
        <v>optional7</v>
      </c>
      <c r="B34" s="218" t="s">
        <v>608</v>
      </c>
      <c r="C34" s="219" t="s">
        <v>185</v>
      </c>
      <c r="D34" s="179" t="s">
        <v>612</v>
      </c>
      <c r="E34" s="68" t="s">
        <v>619</v>
      </c>
      <c r="F34" s="69" t="s">
        <v>599</v>
      </c>
      <c r="G34" s="182" t="s">
        <v>743</v>
      </c>
      <c r="H34" s="64"/>
    </row>
    <row r="35" spans="1:8" x14ac:dyDescent="0.2">
      <c r="A35" s="177" t="str">
        <f t="shared" si="0"/>
        <v>optional8</v>
      </c>
      <c r="B35" s="218" t="s">
        <v>609</v>
      </c>
      <c r="C35" s="219" t="s">
        <v>185</v>
      </c>
      <c r="D35" s="179" t="s">
        <v>612</v>
      </c>
      <c r="E35" s="68" t="s">
        <v>620</v>
      </c>
      <c r="F35" s="69" t="s">
        <v>599</v>
      </c>
      <c r="G35" s="182" t="s">
        <v>744</v>
      </c>
      <c r="H35" s="64"/>
    </row>
    <row r="36" spans="1:8" x14ac:dyDescent="0.2">
      <c r="A36" s="177" t="str">
        <f t="shared" si="0"/>
        <v>optional9</v>
      </c>
      <c r="B36" s="218" t="s">
        <v>610</v>
      </c>
      <c r="C36" s="219" t="s">
        <v>185</v>
      </c>
      <c r="D36" s="179" t="s">
        <v>612</v>
      </c>
      <c r="E36" s="68" t="s">
        <v>621</v>
      </c>
      <c r="F36" s="69" t="s">
        <v>599</v>
      </c>
      <c r="G36" s="182" t="s">
        <v>745</v>
      </c>
      <c r="H36" s="64"/>
    </row>
    <row r="37" spans="1:8" x14ac:dyDescent="0.2">
      <c r="A37" s="177" t="str">
        <f t="shared" si="0"/>
        <v>optional10</v>
      </c>
      <c r="B37" s="218" t="s">
        <v>611</v>
      </c>
      <c r="C37" s="219" t="s">
        <v>185</v>
      </c>
      <c r="D37" s="179" t="s">
        <v>612</v>
      </c>
      <c r="E37" s="68" t="s">
        <v>622</v>
      </c>
      <c r="F37" s="69" t="s">
        <v>599</v>
      </c>
      <c r="G37" s="182" t="s">
        <v>746</v>
      </c>
      <c r="H37" s="64"/>
    </row>
    <row r="38" spans="1:8" ht="14.25" customHeight="1" x14ac:dyDescent="0.2">
      <c r="A38" s="177" t="str">
        <f t="shared" ref="A38:A43" si="1">IF(ISERROR(FIND("_",E38)),LOWER(E38),CONCATENATE(LOWER(LEFT(E38,(FIND("_",E38))-1)),SUBSTITUTE(PROPER(LOWER(RIGHT(E38,LEN(E38)-FIND("_",E38)))),"_","")))</f>
        <v>optional11</v>
      </c>
      <c r="B38" s="218" t="s">
        <v>704</v>
      </c>
      <c r="C38" s="219" t="s">
        <v>21</v>
      </c>
      <c r="D38" s="179" t="s">
        <v>612</v>
      </c>
      <c r="E38" s="68" t="s">
        <v>705</v>
      </c>
      <c r="F38" s="69" t="s">
        <v>599</v>
      </c>
      <c r="G38" s="182" t="s">
        <v>762</v>
      </c>
      <c r="H38" s="222" t="s">
        <v>736</v>
      </c>
    </row>
    <row r="39" spans="1:8" ht="14.25" customHeight="1" x14ac:dyDescent="0.2">
      <c r="A39" s="177" t="str">
        <f t="shared" si="1"/>
        <v>optional12</v>
      </c>
      <c r="B39" s="218" t="s">
        <v>721</v>
      </c>
      <c r="C39" s="219" t="s">
        <v>21</v>
      </c>
      <c r="D39" s="179" t="s">
        <v>612</v>
      </c>
      <c r="E39" s="68" t="s">
        <v>706</v>
      </c>
      <c r="F39" s="69" t="s">
        <v>599</v>
      </c>
      <c r="G39" s="182" t="s">
        <v>747</v>
      </c>
      <c r="H39" s="222" t="s">
        <v>736</v>
      </c>
    </row>
    <row r="40" spans="1:8" ht="14.25" customHeight="1" x14ac:dyDescent="0.2">
      <c r="A40" s="177" t="str">
        <f t="shared" si="1"/>
        <v>optional13</v>
      </c>
      <c r="B40" s="218" t="s">
        <v>722</v>
      </c>
      <c r="C40" s="219" t="s">
        <v>21</v>
      </c>
      <c r="D40" s="179" t="s">
        <v>612</v>
      </c>
      <c r="E40" s="68" t="s">
        <v>707</v>
      </c>
      <c r="F40" s="69" t="s">
        <v>599</v>
      </c>
      <c r="G40" s="182" t="s">
        <v>748</v>
      </c>
      <c r="H40" s="222" t="s">
        <v>736</v>
      </c>
    </row>
    <row r="41" spans="1:8" ht="14.25" customHeight="1" x14ac:dyDescent="0.2">
      <c r="A41" s="177" t="str">
        <f t="shared" si="1"/>
        <v>optional14</v>
      </c>
      <c r="B41" s="218" t="s">
        <v>723</v>
      </c>
      <c r="C41" s="219" t="s">
        <v>21</v>
      </c>
      <c r="D41" s="179" t="s">
        <v>612</v>
      </c>
      <c r="E41" s="68" t="s">
        <v>708</v>
      </c>
      <c r="F41" s="69" t="s">
        <v>599</v>
      </c>
      <c r="G41" s="182" t="s">
        <v>749</v>
      </c>
      <c r="H41" s="222" t="s">
        <v>736</v>
      </c>
    </row>
    <row r="42" spans="1:8" ht="14.25" customHeight="1" x14ac:dyDescent="0.2">
      <c r="A42" s="177" t="str">
        <f t="shared" si="1"/>
        <v>optional15</v>
      </c>
      <c r="B42" s="218" t="s">
        <v>724</v>
      </c>
      <c r="C42" s="219" t="s">
        <v>21</v>
      </c>
      <c r="D42" s="179" t="s">
        <v>612</v>
      </c>
      <c r="E42" s="68" t="s">
        <v>709</v>
      </c>
      <c r="F42" s="69" t="s">
        <v>599</v>
      </c>
      <c r="G42" s="182" t="s">
        <v>750</v>
      </c>
      <c r="H42" s="222" t="s">
        <v>736</v>
      </c>
    </row>
    <row r="43" spans="1:8" ht="14.25" customHeight="1" x14ac:dyDescent="0.2">
      <c r="A43" s="177" t="str">
        <f t="shared" si="1"/>
        <v>optional16</v>
      </c>
      <c r="B43" s="218" t="s">
        <v>725</v>
      </c>
      <c r="C43" s="219" t="s">
        <v>21</v>
      </c>
      <c r="D43" s="179" t="s">
        <v>612</v>
      </c>
      <c r="E43" s="68" t="s">
        <v>710</v>
      </c>
      <c r="F43" s="69" t="s">
        <v>599</v>
      </c>
      <c r="G43" s="182" t="s">
        <v>763</v>
      </c>
      <c r="H43" s="222" t="s">
        <v>736</v>
      </c>
    </row>
    <row r="44" spans="1:8" ht="14.25" customHeight="1" x14ac:dyDescent="0.2">
      <c r="A44" s="177" t="str">
        <f t="shared" ref="A44:A53" si="2">IF(ISERROR(FIND("_",E44)),LOWER(E44),CONCATENATE(LOWER(LEFT(E44,(FIND("_",E44))-1)),SUBSTITUTE(PROPER(LOWER(RIGHT(E44,LEN(E44)-FIND("_",E44)))),"_","")))</f>
        <v>optional21</v>
      </c>
      <c r="B44" s="218" t="s">
        <v>726</v>
      </c>
      <c r="C44" s="219" t="s">
        <v>21</v>
      </c>
      <c r="D44" s="179" t="s">
        <v>612</v>
      </c>
      <c r="E44" s="68" t="s">
        <v>711</v>
      </c>
      <c r="F44" s="69" t="s">
        <v>599</v>
      </c>
      <c r="G44" s="182" t="s">
        <v>751</v>
      </c>
      <c r="H44" s="222" t="s">
        <v>736</v>
      </c>
    </row>
    <row r="45" spans="1:8" ht="14.25" customHeight="1" x14ac:dyDescent="0.2">
      <c r="A45" s="177" t="str">
        <f t="shared" si="2"/>
        <v>optional22</v>
      </c>
      <c r="B45" s="218" t="s">
        <v>727</v>
      </c>
      <c r="C45" s="219" t="s">
        <v>21</v>
      </c>
      <c r="D45" s="179" t="s">
        <v>612</v>
      </c>
      <c r="E45" s="68" t="s">
        <v>712</v>
      </c>
      <c r="F45" s="69" t="s">
        <v>599</v>
      </c>
      <c r="G45" s="182" t="s">
        <v>752</v>
      </c>
      <c r="H45" s="222" t="s">
        <v>736</v>
      </c>
    </row>
    <row r="46" spans="1:8" ht="14.25" customHeight="1" x14ac:dyDescent="0.2">
      <c r="A46" s="177" t="str">
        <f t="shared" si="2"/>
        <v>optional23</v>
      </c>
      <c r="B46" s="218" t="s">
        <v>728</v>
      </c>
      <c r="C46" s="219" t="s">
        <v>21</v>
      </c>
      <c r="D46" s="179" t="s">
        <v>612</v>
      </c>
      <c r="E46" s="68" t="s">
        <v>713</v>
      </c>
      <c r="F46" s="69" t="s">
        <v>599</v>
      </c>
      <c r="G46" s="182" t="s">
        <v>753</v>
      </c>
      <c r="H46" s="222" t="s">
        <v>736</v>
      </c>
    </row>
    <row r="47" spans="1:8" ht="14.25" customHeight="1" x14ac:dyDescent="0.2">
      <c r="A47" s="177" t="str">
        <f t="shared" si="2"/>
        <v>optional24</v>
      </c>
      <c r="B47" s="218" t="s">
        <v>729</v>
      </c>
      <c r="C47" s="219" t="s">
        <v>21</v>
      </c>
      <c r="D47" s="179" t="s">
        <v>612</v>
      </c>
      <c r="E47" s="68" t="s">
        <v>714</v>
      </c>
      <c r="F47" s="69" t="s">
        <v>599</v>
      </c>
      <c r="G47" s="182" t="s">
        <v>754</v>
      </c>
      <c r="H47" s="222" t="s">
        <v>736</v>
      </c>
    </row>
    <row r="48" spans="1:8" ht="14.25" customHeight="1" x14ac:dyDescent="0.2">
      <c r="A48" s="177" t="str">
        <f t="shared" si="2"/>
        <v>optional25</v>
      </c>
      <c r="B48" s="218" t="s">
        <v>730</v>
      </c>
      <c r="C48" s="219" t="s">
        <v>21</v>
      </c>
      <c r="D48" s="179" t="s">
        <v>612</v>
      </c>
      <c r="E48" s="68" t="s">
        <v>715</v>
      </c>
      <c r="F48" s="69" t="s">
        <v>599</v>
      </c>
      <c r="G48" s="182" t="s">
        <v>755</v>
      </c>
      <c r="H48" s="222" t="s">
        <v>736</v>
      </c>
    </row>
    <row r="49" spans="1:10" ht="14.25" customHeight="1" x14ac:dyDescent="0.2">
      <c r="A49" s="177" t="str">
        <f t="shared" si="2"/>
        <v>optional26</v>
      </c>
      <c r="B49" s="218" t="s">
        <v>731</v>
      </c>
      <c r="C49" s="219" t="s">
        <v>21</v>
      </c>
      <c r="D49" s="179" t="s">
        <v>612</v>
      </c>
      <c r="E49" s="68" t="s">
        <v>716</v>
      </c>
      <c r="F49" s="69" t="s">
        <v>599</v>
      </c>
      <c r="G49" s="182" t="s">
        <v>756</v>
      </c>
      <c r="H49" s="222" t="s">
        <v>736</v>
      </c>
    </row>
    <row r="50" spans="1:10" ht="14.25" customHeight="1" x14ac:dyDescent="0.2">
      <c r="A50" s="177" t="str">
        <f t="shared" si="2"/>
        <v>optional27</v>
      </c>
      <c r="B50" s="218" t="s">
        <v>732</v>
      </c>
      <c r="C50" s="219" t="s">
        <v>21</v>
      </c>
      <c r="D50" s="179" t="s">
        <v>612</v>
      </c>
      <c r="E50" s="68" t="s">
        <v>717</v>
      </c>
      <c r="F50" s="69" t="s">
        <v>599</v>
      </c>
      <c r="G50" s="182" t="s">
        <v>757</v>
      </c>
      <c r="H50" s="222" t="s">
        <v>736</v>
      </c>
    </row>
    <row r="51" spans="1:10" ht="14.25" customHeight="1" x14ac:dyDescent="0.2">
      <c r="A51" s="177" t="str">
        <f t="shared" si="2"/>
        <v>optional28</v>
      </c>
      <c r="B51" s="218" t="s">
        <v>733</v>
      </c>
      <c r="C51" s="219" t="s">
        <v>21</v>
      </c>
      <c r="D51" s="179" t="s">
        <v>612</v>
      </c>
      <c r="E51" s="68" t="s">
        <v>718</v>
      </c>
      <c r="F51" s="69" t="s">
        <v>599</v>
      </c>
      <c r="G51" s="182" t="s">
        <v>758</v>
      </c>
      <c r="H51" s="222" t="s">
        <v>736</v>
      </c>
    </row>
    <row r="52" spans="1:10" ht="14.25" customHeight="1" x14ac:dyDescent="0.2">
      <c r="A52" s="177" t="str">
        <f t="shared" si="2"/>
        <v>optional29</v>
      </c>
      <c r="B52" s="218" t="s">
        <v>734</v>
      </c>
      <c r="C52" s="219" t="s">
        <v>21</v>
      </c>
      <c r="D52" s="179" t="s">
        <v>612</v>
      </c>
      <c r="E52" s="68" t="s">
        <v>719</v>
      </c>
      <c r="F52" s="69" t="s">
        <v>599</v>
      </c>
      <c r="G52" s="182" t="s">
        <v>759</v>
      </c>
      <c r="H52" s="222" t="s">
        <v>736</v>
      </c>
    </row>
    <row r="53" spans="1:10" ht="14.25" customHeight="1" x14ac:dyDescent="0.2">
      <c r="A53" s="177" t="str">
        <f t="shared" si="2"/>
        <v>optional30</v>
      </c>
      <c r="B53" s="218" t="s">
        <v>735</v>
      </c>
      <c r="C53" s="219" t="s">
        <v>21</v>
      </c>
      <c r="D53" s="179" t="s">
        <v>612</v>
      </c>
      <c r="E53" s="68" t="s">
        <v>720</v>
      </c>
      <c r="F53" s="69" t="s">
        <v>599</v>
      </c>
      <c r="G53" s="182" t="s">
        <v>760</v>
      </c>
      <c r="H53" s="222" t="s">
        <v>736</v>
      </c>
    </row>
    <row r="54" spans="1:10" x14ac:dyDescent="0.2">
      <c r="A54" s="177" t="str">
        <f t="shared" si="0"/>
        <v>note1</v>
      </c>
      <c r="B54" s="218" t="s">
        <v>647</v>
      </c>
      <c r="C54" s="219" t="s">
        <v>645</v>
      </c>
      <c r="D54" s="179" t="s">
        <v>648</v>
      </c>
      <c r="E54" s="68" t="s">
        <v>646</v>
      </c>
      <c r="F54" s="69" t="s">
        <v>599</v>
      </c>
      <c r="G54" s="182" t="s">
        <v>650</v>
      </c>
      <c r="H54" s="64"/>
    </row>
    <row r="55" spans="1:10" x14ac:dyDescent="0.2">
      <c r="A55" s="177" t="str">
        <f>IF(ISERROR(FIND("_",E55)),LOWER(E55),CONCATENATE(LOWER(LEFT(E55,(FIND("_",E55))-1)),SUBSTITUTE(PROPER(LOWER(RIGHT(E55,LEN(E55)-FIND("_",E55)))),"_","")))</f>
        <v>note</v>
      </c>
      <c r="B55" s="218" t="s">
        <v>649</v>
      </c>
      <c r="C55" s="219" t="s">
        <v>185</v>
      </c>
      <c r="D55" s="179" t="s">
        <v>631</v>
      </c>
      <c r="E55" s="68" t="s">
        <v>158</v>
      </c>
      <c r="F55" s="69" t="s">
        <v>599</v>
      </c>
      <c r="G55" s="182" t="s">
        <v>651</v>
      </c>
      <c r="H55" s="64"/>
    </row>
    <row r="56" spans="1:10" x14ac:dyDescent="0.2">
      <c r="A56" s="177" t="str">
        <f t="shared" si="0"/>
        <v>lastUser</v>
      </c>
      <c r="B56" s="220" t="s">
        <v>174</v>
      </c>
      <c r="C56" s="219" t="s">
        <v>185</v>
      </c>
      <c r="D56" s="186" t="s">
        <v>173</v>
      </c>
      <c r="E56" s="86" t="s">
        <v>171</v>
      </c>
      <c r="F56" s="69" t="s">
        <v>599</v>
      </c>
      <c r="G56" s="185"/>
      <c r="H56" s="64"/>
    </row>
    <row r="57" spans="1:10" x14ac:dyDescent="0.2">
      <c r="A57" s="177" t="str">
        <f t="shared" si="0"/>
        <v>userNameKj</v>
      </c>
      <c r="B57" s="220" t="s">
        <v>207</v>
      </c>
      <c r="C57" s="219" t="s">
        <v>185</v>
      </c>
      <c r="D57" s="186" t="s">
        <v>58</v>
      </c>
      <c r="E57" s="86" t="s">
        <v>205</v>
      </c>
      <c r="F57" s="69" t="s">
        <v>206</v>
      </c>
      <c r="G57" s="185"/>
      <c r="H57" s="64"/>
    </row>
    <row r="58" spans="1:10" x14ac:dyDescent="0.2">
      <c r="A58" s="11" t="str">
        <f t="shared" si="0"/>
        <v>keiyakuEnd</v>
      </c>
      <c r="B58" s="85" t="s">
        <v>48</v>
      </c>
      <c r="C58" s="79" t="s">
        <v>185</v>
      </c>
      <c r="D58" s="76" t="s">
        <v>173</v>
      </c>
      <c r="E58" s="86" t="s">
        <v>170</v>
      </c>
      <c r="F58" s="87" t="s">
        <v>144</v>
      </c>
      <c r="G58" s="185"/>
      <c r="H58" s="64"/>
    </row>
    <row r="59" spans="1:10" x14ac:dyDescent="0.2">
      <c r="A59" s="32"/>
      <c r="B59" s="31"/>
      <c r="C59" s="32"/>
      <c r="D59" s="32"/>
      <c r="E59" s="65"/>
      <c r="F59" s="67"/>
      <c r="G59" s="190"/>
      <c r="H59" s="34"/>
    </row>
    <row r="60" spans="1:10" s="34" customFormat="1" ht="25.5" x14ac:dyDescent="0.35">
      <c r="A60" s="30" t="s">
        <v>123</v>
      </c>
      <c r="B60" s="31"/>
      <c r="C60" s="32"/>
      <c r="D60" s="32"/>
      <c r="E60" s="32"/>
      <c r="F60" s="32"/>
      <c r="G60" s="33"/>
      <c r="H60" s="31"/>
    </row>
    <row r="61" spans="1:10" s="34" customFormat="1" ht="19" x14ac:dyDescent="0.3">
      <c r="A61" s="35" t="s">
        <v>516</v>
      </c>
      <c r="B61" s="36"/>
      <c r="C61" s="37"/>
      <c r="D61" s="37"/>
      <c r="E61" s="37"/>
      <c r="F61" s="37"/>
      <c r="G61" s="38"/>
      <c r="H61" s="31"/>
    </row>
    <row r="62" spans="1:10" s="34" customFormat="1" ht="14" x14ac:dyDescent="0.2">
      <c r="A62" s="3" t="s">
        <v>317</v>
      </c>
      <c r="B62" s="36"/>
      <c r="C62" s="37"/>
      <c r="D62" s="37"/>
      <c r="E62" s="37"/>
      <c r="F62" s="37"/>
      <c r="G62" s="38"/>
      <c r="H62" s="31"/>
    </row>
    <row r="64" spans="1:10" s="34" customFormat="1" x14ac:dyDescent="0.2">
      <c r="A64" s="42" t="s">
        <v>20</v>
      </c>
      <c r="B64" s="39"/>
      <c r="C64" s="40"/>
      <c r="D64" s="40"/>
      <c r="E64" s="40"/>
      <c r="F64" s="40"/>
      <c r="G64" s="40"/>
      <c r="H64" s="41"/>
      <c r="I64" s="39"/>
      <c r="J64" s="42"/>
    </row>
    <row r="66" spans="1:8" x14ac:dyDescent="0.2">
      <c r="A66" s="60" t="s">
        <v>127</v>
      </c>
      <c r="B66" s="141"/>
      <c r="C66" s="48"/>
      <c r="E66" s="146"/>
      <c r="F66" s="72" t="s">
        <v>163</v>
      </c>
      <c r="G66" s="117"/>
      <c r="H66" s="51"/>
    </row>
    <row r="67" spans="1:8" x14ac:dyDescent="0.2">
      <c r="A67" s="142" t="s">
        <v>643</v>
      </c>
      <c r="B67" s="143"/>
      <c r="F67" s="121"/>
      <c r="G67" s="99"/>
      <c r="H67" s="98"/>
    </row>
    <row r="68" spans="1:8" x14ac:dyDescent="0.2">
      <c r="A68" s="142" t="s">
        <v>18</v>
      </c>
      <c r="B68" s="143"/>
      <c r="F68" s="121"/>
      <c r="G68" s="99"/>
      <c r="H68" s="98"/>
    </row>
    <row r="69" spans="1:8" x14ac:dyDescent="0.2">
      <c r="A69" s="139" t="s">
        <v>161</v>
      </c>
      <c r="B69" s="138"/>
      <c r="F69" s="121"/>
      <c r="G69" s="99"/>
      <c r="H69" s="98"/>
    </row>
    <row r="70" spans="1:8" x14ac:dyDescent="0.2">
      <c r="A70" s="139" t="s">
        <v>182</v>
      </c>
      <c r="B70" s="138"/>
      <c r="F70" s="121"/>
      <c r="G70" s="99"/>
      <c r="H70" s="98"/>
    </row>
    <row r="71" spans="1:8" x14ac:dyDescent="0.2">
      <c r="A71" s="139" t="s">
        <v>183</v>
      </c>
      <c r="B71" s="138"/>
      <c r="F71" s="121"/>
      <c r="G71" s="99"/>
      <c r="H71" s="98"/>
    </row>
    <row r="72" spans="1:8" x14ac:dyDescent="0.2">
      <c r="A72" s="93" t="s">
        <v>134</v>
      </c>
      <c r="B72" s="138"/>
      <c r="F72" s="103"/>
      <c r="G72" s="99"/>
      <c r="H72" s="98"/>
    </row>
    <row r="73" spans="1:8" x14ac:dyDescent="0.2">
      <c r="A73" s="93" t="s">
        <v>199</v>
      </c>
      <c r="B73" s="138"/>
      <c r="F73" s="103"/>
      <c r="G73" s="99"/>
      <c r="H73" s="98"/>
    </row>
    <row r="74" spans="1:8" x14ac:dyDescent="0.2">
      <c r="A74" s="93" t="s">
        <v>590</v>
      </c>
      <c r="B74" s="138"/>
      <c r="F74" s="103"/>
      <c r="G74" s="99"/>
      <c r="H74" s="98"/>
    </row>
    <row r="75" spans="1:8" x14ac:dyDescent="0.2">
      <c r="A75" s="93" t="s">
        <v>591</v>
      </c>
      <c r="B75" s="138"/>
      <c r="F75" s="64"/>
      <c r="G75" s="113"/>
    </row>
    <row r="76" spans="1:8" x14ac:dyDescent="0.2">
      <c r="A76" s="140" t="s">
        <v>592</v>
      </c>
      <c r="B76" s="138"/>
      <c r="C76" s="49"/>
      <c r="F76" s="64"/>
      <c r="G76" s="113"/>
    </row>
    <row r="77" spans="1:8" x14ac:dyDescent="0.2">
      <c r="A77" s="32"/>
      <c r="B77" s="49"/>
      <c r="C77" s="49"/>
      <c r="F77" s="64"/>
      <c r="G77" s="113"/>
    </row>
    <row r="78" spans="1:8" x14ac:dyDescent="0.2">
      <c r="A78" s="47" t="s">
        <v>128</v>
      </c>
      <c r="B78" s="50"/>
      <c r="C78" s="48"/>
      <c r="F78" s="64"/>
      <c r="G78" s="113"/>
    </row>
    <row r="79" spans="1:8" x14ac:dyDescent="0.2">
      <c r="A79" s="13" t="s">
        <v>172</v>
      </c>
      <c r="B79" s="17" t="s">
        <v>138</v>
      </c>
      <c r="C79" s="49"/>
      <c r="F79" s="64"/>
      <c r="G79" s="113"/>
    </row>
    <row r="80" spans="1:8" x14ac:dyDescent="0.2">
      <c r="A80" s="83" t="s">
        <v>166</v>
      </c>
      <c r="B80" s="43" t="s">
        <v>25</v>
      </c>
      <c r="C80" s="49"/>
      <c r="F80" s="64"/>
      <c r="G80" s="113"/>
    </row>
    <row r="81" spans="1:7" x14ac:dyDescent="0.2">
      <c r="A81" s="13" t="s">
        <v>168</v>
      </c>
      <c r="B81" s="17" t="s">
        <v>23</v>
      </c>
      <c r="C81" s="49"/>
      <c r="F81" s="64"/>
      <c r="G81" s="113"/>
    </row>
    <row r="82" spans="1:7" x14ac:dyDescent="0.2">
      <c r="A82" s="13" t="s">
        <v>167</v>
      </c>
      <c r="B82" s="17" t="s">
        <v>145</v>
      </c>
      <c r="C82" s="49"/>
      <c r="F82" s="64"/>
      <c r="G82" s="113"/>
    </row>
    <row r="83" spans="1:7" x14ac:dyDescent="0.2">
      <c r="A83" s="13" t="s">
        <v>6</v>
      </c>
      <c r="B83" s="13" t="s">
        <v>4</v>
      </c>
      <c r="C83" s="49"/>
      <c r="F83" s="64"/>
      <c r="G83" s="113"/>
    </row>
    <row r="84" spans="1:7" x14ac:dyDescent="0.2">
      <c r="A84" s="66" t="s">
        <v>175</v>
      </c>
      <c r="B84" s="17" t="s">
        <v>176</v>
      </c>
      <c r="C84" s="49"/>
      <c r="F84" s="64"/>
      <c r="G84" s="113"/>
    </row>
    <row r="85" spans="1:7" x14ac:dyDescent="0.2">
      <c r="A85" s="66" t="s">
        <v>159</v>
      </c>
      <c r="B85" s="17" t="s">
        <v>703</v>
      </c>
      <c r="C85" s="49"/>
      <c r="F85" s="64"/>
      <c r="G85" s="113"/>
    </row>
    <row r="86" spans="1:7" x14ac:dyDescent="0.2">
      <c r="A86" s="66" t="s">
        <v>178</v>
      </c>
      <c r="B86" s="17" t="s">
        <v>177</v>
      </c>
      <c r="C86" s="49"/>
      <c r="F86" s="64"/>
      <c r="G86" s="113"/>
    </row>
    <row r="87" spans="1:7" x14ac:dyDescent="0.2">
      <c r="A87" s="59" t="s">
        <v>248</v>
      </c>
      <c r="B87" s="43" t="s">
        <v>249</v>
      </c>
      <c r="C87" s="49"/>
      <c r="F87" s="64"/>
      <c r="G87" s="113"/>
    </row>
    <row r="88" spans="1:7" x14ac:dyDescent="0.2">
      <c r="A88" s="59" t="s">
        <v>424</v>
      </c>
      <c r="B88" s="43" t="s">
        <v>598</v>
      </c>
      <c r="C88" s="49"/>
      <c r="F88" s="64"/>
      <c r="G88" s="113"/>
    </row>
    <row r="89" spans="1:7" x14ac:dyDescent="0.2">
      <c r="A89" s="101"/>
      <c r="B89" s="48"/>
      <c r="C89" s="49"/>
      <c r="F89" s="64"/>
      <c r="G89" s="113"/>
    </row>
    <row r="90" spans="1:7" x14ac:dyDescent="0.2">
      <c r="A90" s="47" t="s">
        <v>129</v>
      </c>
      <c r="B90" s="57" t="s">
        <v>2</v>
      </c>
      <c r="C90" s="58"/>
      <c r="F90" s="64"/>
      <c r="G90" s="113"/>
    </row>
    <row r="91" spans="1:7" x14ac:dyDescent="0.2">
      <c r="A91" s="13" t="s">
        <v>221</v>
      </c>
      <c r="B91" s="93" t="s">
        <v>222</v>
      </c>
      <c r="C91" s="94"/>
      <c r="F91" s="64"/>
      <c r="G91" s="113"/>
    </row>
    <row r="92" spans="1:7" x14ac:dyDescent="0.2">
      <c r="A92" s="13" t="s">
        <v>223</v>
      </c>
      <c r="B92" s="93" t="s">
        <v>240</v>
      </c>
      <c r="C92" s="45"/>
      <c r="F92" s="64"/>
      <c r="G92" s="113"/>
    </row>
    <row r="93" spans="1:7" x14ac:dyDescent="0.2">
      <c r="A93" s="13" t="s">
        <v>225</v>
      </c>
      <c r="B93" s="93" t="s">
        <v>239</v>
      </c>
      <c r="C93" s="45"/>
      <c r="F93" s="64"/>
      <c r="G93" s="113"/>
    </row>
    <row r="94" spans="1:7" x14ac:dyDescent="0.2">
      <c r="A94" s="13" t="s">
        <v>223</v>
      </c>
      <c r="B94" s="93" t="s">
        <v>0</v>
      </c>
      <c r="C94" s="45"/>
      <c r="F94" s="64"/>
      <c r="G94" s="113"/>
    </row>
    <row r="95" spans="1:7" x14ac:dyDescent="0.2">
      <c r="A95" s="13" t="s">
        <v>228</v>
      </c>
      <c r="B95" s="93" t="s">
        <v>1</v>
      </c>
      <c r="C95" s="45"/>
      <c r="F95" s="64"/>
      <c r="G95" s="113"/>
    </row>
    <row r="96" spans="1:7" x14ac:dyDescent="0.2">
      <c r="A96" s="93"/>
      <c r="B96" s="96"/>
      <c r="C96" s="45"/>
      <c r="F96" s="64"/>
      <c r="G96" s="113"/>
    </row>
    <row r="97" spans="1:7" x14ac:dyDescent="0.2">
      <c r="A97" s="47" t="s">
        <v>129</v>
      </c>
      <c r="B97" s="57" t="s">
        <v>427</v>
      </c>
      <c r="C97" s="58"/>
      <c r="F97" s="64"/>
      <c r="G97" s="113"/>
    </row>
    <row r="98" spans="1:7" x14ac:dyDescent="0.2">
      <c r="A98" s="13" t="s">
        <v>221</v>
      </c>
      <c r="B98" s="93" t="s">
        <v>222</v>
      </c>
      <c r="C98" s="94"/>
      <c r="F98" s="64"/>
      <c r="G98" s="113"/>
    </row>
    <row r="99" spans="1:7" x14ac:dyDescent="0.2">
      <c r="A99" s="13" t="s">
        <v>3</v>
      </c>
      <c r="B99" s="93" t="s">
        <v>240</v>
      </c>
      <c r="C99" s="45"/>
      <c r="F99" s="64"/>
      <c r="G99" s="113"/>
    </row>
    <row r="100" spans="1:7" x14ac:dyDescent="0.2">
      <c r="A100" s="13" t="s">
        <v>225</v>
      </c>
      <c r="B100" s="93" t="s">
        <v>421</v>
      </c>
      <c r="C100" s="45"/>
      <c r="F100" s="64"/>
      <c r="G100" s="113"/>
    </row>
    <row r="101" spans="1:7" x14ac:dyDescent="0.2">
      <c r="A101" s="13" t="s">
        <v>3</v>
      </c>
      <c r="B101" s="93" t="s">
        <v>0</v>
      </c>
      <c r="C101" s="45"/>
      <c r="F101" s="64"/>
      <c r="G101" s="113"/>
    </row>
    <row r="102" spans="1:7" x14ac:dyDescent="0.2">
      <c r="A102" s="13" t="s">
        <v>225</v>
      </c>
      <c r="B102" s="93" t="s">
        <v>420</v>
      </c>
      <c r="C102" s="45"/>
      <c r="F102" s="64"/>
      <c r="G102" s="113"/>
    </row>
    <row r="103" spans="1:7" x14ac:dyDescent="0.2">
      <c r="A103" s="96"/>
      <c r="B103" s="96"/>
      <c r="C103" s="96"/>
      <c r="F103" s="64"/>
      <c r="G103" s="113"/>
    </row>
    <row r="104" spans="1:7" x14ac:dyDescent="0.2">
      <c r="A104" s="47" t="s">
        <v>129</v>
      </c>
      <c r="B104" s="57" t="s">
        <v>423</v>
      </c>
      <c r="C104" s="58"/>
      <c r="F104" s="64"/>
      <c r="G104" s="113"/>
    </row>
    <row r="105" spans="1:7" x14ac:dyDescent="0.2">
      <c r="A105" s="13" t="s">
        <v>221</v>
      </c>
      <c r="B105" s="93" t="s">
        <v>222</v>
      </c>
      <c r="C105" s="94"/>
      <c r="F105" s="64"/>
      <c r="G105" s="113"/>
    </row>
    <row r="106" spans="1:7" x14ac:dyDescent="0.2">
      <c r="A106" s="13" t="s">
        <v>3</v>
      </c>
      <c r="B106" s="93" t="s">
        <v>240</v>
      </c>
      <c r="C106" s="45"/>
      <c r="F106" s="64"/>
      <c r="G106" s="113"/>
    </row>
    <row r="107" spans="1:7" x14ac:dyDescent="0.2">
      <c r="A107" s="13" t="s">
        <v>225</v>
      </c>
      <c r="B107" s="93" t="s">
        <v>425</v>
      </c>
      <c r="C107" s="45"/>
      <c r="F107" s="64"/>
      <c r="G107" s="113"/>
    </row>
    <row r="108" spans="1:7" x14ac:dyDescent="0.2">
      <c r="A108" s="13" t="s">
        <v>3</v>
      </c>
      <c r="B108" s="93" t="s">
        <v>0</v>
      </c>
      <c r="C108" s="45"/>
      <c r="F108" s="64"/>
      <c r="G108" s="113"/>
    </row>
    <row r="109" spans="1:7" x14ac:dyDescent="0.2">
      <c r="A109" s="13" t="s">
        <v>225</v>
      </c>
      <c r="B109" s="93" t="s">
        <v>426</v>
      </c>
      <c r="C109" s="45"/>
      <c r="F109" s="64"/>
      <c r="G109" s="113"/>
    </row>
    <row r="110" spans="1:7" x14ac:dyDescent="0.2">
      <c r="A110" s="96"/>
      <c r="B110" s="96"/>
      <c r="C110" s="96"/>
      <c r="F110" s="64"/>
      <c r="G110" s="113"/>
    </row>
    <row r="111" spans="1:7" x14ac:dyDescent="0.2">
      <c r="A111" s="47" t="s">
        <v>129</v>
      </c>
      <c r="B111" s="57" t="s">
        <v>434</v>
      </c>
      <c r="C111" s="58"/>
      <c r="F111" s="64"/>
      <c r="G111" s="113"/>
    </row>
    <row r="112" spans="1:7" x14ac:dyDescent="0.2">
      <c r="A112" s="13" t="s">
        <v>221</v>
      </c>
      <c r="B112" s="93" t="s">
        <v>222</v>
      </c>
      <c r="C112" s="94"/>
      <c r="F112" s="64"/>
      <c r="G112" s="113"/>
    </row>
    <row r="113" spans="1:7" x14ac:dyDescent="0.2">
      <c r="A113" s="13" t="s">
        <v>3</v>
      </c>
      <c r="B113" s="93" t="s">
        <v>239</v>
      </c>
      <c r="C113" s="45"/>
      <c r="F113" s="64"/>
      <c r="G113" s="113"/>
    </row>
    <row r="114" spans="1:7" x14ac:dyDescent="0.2">
      <c r="A114" s="13" t="s">
        <v>225</v>
      </c>
      <c r="B114" s="93" t="s">
        <v>425</v>
      </c>
      <c r="C114" s="45"/>
      <c r="F114" s="64"/>
      <c r="G114" s="113"/>
    </row>
    <row r="115" spans="1:7" x14ac:dyDescent="0.2">
      <c r="A115" s="13" t="s">
        <v>3</v>
      </c>
      <c r="B115" s="93" t="s">
        <v>435</v>
      </c>
      <c r="C115" s="45"/>
      <c r="F115" s="64"/>
      <c r="G115" s="113"/>
    </row>
    <row r="116" spans="1:7" x14ac:dyDescent="0.2">
      <c r="A116" s="13" t="s">
        <v>225</v>
      </c>
      <c r="B116" s="93" t="s">
        <v>436</v>
      </c>
      <c r="C116" s="45"/>
      <c r="F116" s="64"/>
      <c r="G116" s="113"/>
    </row>
    <row r="117" spans="1:7" x14ac:dyDescent="0.2">
      <c r="A117" s="96"/>
      <c r="B117" s="96"/>
      <c r="C117" s="96"/>
      <c r="F117" s="64"/>
      <c r="G117" s="113"/>
    </row>
    <row r="118" spans="1:7" x14ac:dyDescent="0.2">
      <c r="A118" s="47" t="s">
        <v>129</v>
      </c>
      <c r="B118" s="57" t="s">
        <v>428</v>
      </c>
      <c r="C118" s="58"/>
      <c r="F118" s="64"/>
      <c r="G118" s="113"/>
    </row>
    <row r="119" spans="1:7" x14ac:dyDescent="0.2">
      <c r="A119" s="13" t="s">
        <v>221</v>
      </c>
      <c r="B119" s="93" t="s">
        <v>222</v>
      </c>
      <c r="C119" s="94"/>
      <c r="F119" s="64"/>
      <c r="G119" s="113"/>
    </row>
    <row r="120" spans="1:7" x14ac:dyDescent="0.2">
      <c r="A120" s="13" t="s">
        <v>223</v>
      </c>
      <c r="B120" s="93" t="s">
        <v>430</v>
      </c>
      <c r="C120" s="45"/>
      <c r="F120" s="64"/>
      <c r="G120" s="113"/>
    </row>
    <row r="121" spans="1:7" x14ac:dyDescent="0.2">
      <c r="A121" s="13" t="s">
        <v>225</v>
      </c>
      <c r="B121" s="93" t="s">
        <v>431</v>
      </c>
      <c r="C121" s="45"/>
      <c r="F121" s="64"/>
      <c r="G121" s="113"/>
    </row>
    <row r="122" spans="1:7" x14ac:dyDescent="0.2">
      <c r="A122" s="13" t="s">
        <v>223</v>
      </c>
      <c r="B122" s="93" t="s">
        <v>298</v>
      </c>
      <c r="C122" s="45"/>
      <c r="F122" s="64"/>
      <c r="G122" s="113"/>
    </row>
    <row r="123" spans="1:7" x14ac:dyDescent="0.2">
      <c r="A123" s="13" t="s">
        <v>228</v>
      </c>
      <c r="B123" s="93" t="s">
        <v>432</v>
      </c>
      <c r="C123" s="45"/>
      <c r="F123" s="64"/>
      <c r="G123" s="113"/>
    </row>
    <row r="124" spans="1:7" x14ac:dyDescent="0.2">
      <c r="A124" s="13" t="s">
        <v>223</v>
      </c>
      <c r="B124" s="93" t="s">
        <v>299</v>
      </c>
      <c r="C124" s="45"/>
      <c r="F124" s="64"/>
      <c r="G124" s="113"/>
    </row>
    <row r="125" spans="1:7" x14ac:dyDescent="0.2">
      <c r="A125" s="13" t="s">
        <v>228</v>
      </c>
      <c r="B125" s="93" t="s">
        <v>433</v>
      </c>
      <c r="C125" s="45"/>
      <c r="F125" s="64"/>
      <c r="G125" s="113"/>
    </row>
    <row r="126" spans="1:7" x14ac:dyDescent="0.2">
      <c r="A126" s="13" t="s">
        <v>3</v>
      </c>
      <c r="B126" s="93" t="s">
        <v>421</v>
      </c>
      <c r="C126" s="45"/>
      <c r="F126" s="64"/>
      <c r="G126" s="113"/>
    </row>
    <row r="127" spans="1:7" x14ac:dyDescent="0.2">
      <c r="A127" s="13" t="s">
        <v>225</v>
      </c>
      <c r="B127" s="93" t="s">
        <v>425</v>
      </c>
      <c r="C127" s="45"/>
      <c r="F127" s="64"/>
      <c r="G127" s="113"/>
    </row>
    <row r="128" spans="1:7" x14ac:dyDescent="0.2">
      <c r="A128" s="13" t="s">
        <v>3</v>
      </c>
      <c r="B128" s="93" t="s">
        <v>420</v>
      </c>
      <c r="C128" s="45"/>
      <c r="F128" s="64"/>
      <c r="G128" s="113"/>
    </row>
    <row r="129" spans="1:7" x14ac:dyDescent="0.2">
      <c r="A129" s="13" t="s">
        <v>225</v>
      </c>
      <c r="B129" s="93" t="s">
        <v>426</v>
      </c>
      <c r="C129" s="45"/>
      <c r="F129" s="64"/>
      <c r="G129" s="113"/>
    </row>
    <row r="130" spans="1:7" x14ac:dyDescent="0.2">
      <c r="A130" s="96"/>
      <c r="B130" s="96"/>
      <c r="C130" s="96"/>
      <c r="F130" s="64"/>
      <c r="G130" s="113"/>
    </row>
    <row r="131" spans="1:7" x14ac:dyDescent="0.2">
      <c r="A131" s="96"/>
      <c r="B131" s="96"/>
      <c r="C131" s="96"/>
      <c r="F131" s="64"/>
      <c r="G131" s="113"/>
    </row>
    <row r="132" spans="1:7" x14ac:dyDescent="0.2">
      <c r="A132" s="47" t="s">
        <v>129</v>
      </c>
      <c r="B132" s="57" t="s">
        <v>429</v>
      </c>
      <c r="C132" s="58"/>
      <c r="F132" s="64"/>
      <c r="G132" s="113"/>
    </row>
    <row r="133" spans="1:7" x14ac:dyDescent="0.2">
      <c r="A133" s="13" t="s">
        <v>221</v>
      </c>
      <c r="B133" s="93" t="s">
        <v>222</v>
      </c>
      <c r="C133" s="94"/>
      <c r="F133" s="64"/>
      <c r="G133" s="113"/>
    </row>
    <row r="134" spans="1:7" x14ac:dyDescent="0.2">
      <c r="A134" s="13" t="s">
        <v>223</v>
      </c>
      <c r="B134" s="93" t="s">
        <v>224</v>
      </c>
      <c r="C134" s="45"/>
      <c r="F134" s="64"/>
      <c r="G134" s="113"/>
    </row>
    <row r="135" spans="1:7" x14ac:dyDescent="0.2">
      <c r="A135" s="13" t="s">
        <v>225</v>
      </c>
      <c r="B135" s="93" t="s">
        <v>430</v>
      </c>
      <c r="C135" s="45"/>
      <c r="F135" s="64"/>
      <c r="G135" s="113"/>
    </row>
    <row r="136" spans="1:7" x14ac:dyDescent="0.2">
      <c r="A136" s="13" t="s">
        <v>223</v>
      </c>
      <c r="B136" s="93" t="s">
        <v>226</v>
      </c>
      <c r="C136" s="45"/>
      <c r="F136" s="64"/>
      <c r="G136" s="113"/>
    </row>
    <row r="137" spans="1:7" x14ac:dyDescent="0.2">
      <c r="A137" s="13" t="s">
        <v>228</v>
      </c>
      <c r="B137" s="93" t="s">
        <v>298</v>
      </c>
      <c r="C137" s="45"/>
      <c r="F137" s="64"/>
      <c r="G137" s="113"/>
    </row>
    <row r="138" spans="1:7" x14ac:dyDescent="0.2">
      <c r="A138" s="13" t="s">
        <v>223</v>
      </c>
      <c r="B138" s="93" t="s">
        <v>227</v>
      </c>
      <c r="C138" s="45"/>
      <c r="F138" s="64"/>
      <c r="G138" s="113"/>
    </row>
    <row r="139" spans="1:7" x14ac:dyDescent="0.2">
      <c r="A139" s="13" t="s">
        <v>228</v>
      </c>
      <c r="B139" s="93" t="s">
        <v>299</v>
      </c>
      <c r="C139" s="45"/>
      <c r="F139" s="64"/>
      <c r="G139" s="113"/>
    </row>
    <row r="140" spans="1:7" x14ac:dyDescent="0.2">
      <c r="A140" s="32"/>
      <c r="B140" s="32"/>
      <c r="C140" s="32"/>
      <c r="F140" s="64"/>
      <c r="G140" s="113"/>
    </row>
    <row r="141" spans="1:7" x14ac:dyDescent="0.2">
      <c r="A141" s="60" t="s">
        <v>130</v>
      </c>
      <c r="B141" s="61"/>
      <c r="C141" s="58"/>
      <c r="F141" s="64"/>
      <c r="G141" s="113"/>
    </row>
    <row r="142" spans="1:7" x14ac:dyDescent="0.2">
      <c r="A142" s="93" t="s">
        <v>235</v>
      </c>
      <c r="B142" s="96"/>
      <c r="C142" s="45"/>
      <c r="F142" s="64"/>
      <c r="G142" s="113"/>
    </row>
    <row r="143" spans="1:7" x14ac:dyDescent="0.2">
      <c r="A143" s="93" t="s">
        <v>411</v>
      </c>
      <c r="B143" s="96"/>
      <c r="C143" s="45"/>
      <c r="F143" s="64"/>
      <c r="G143" s="113"/>
    </row>
    <row r="144" spans="1:7" x14ac:dyDescent="0.2">
      <c r="A144" s="93" t="s">
        <v>412</v>
      </c>
      <c r="B144" s="96"/>
      <c r="C144" s="45"/>
      <c r="F144" s="64"/>
      <c r="G144" s="113"/>
    </row>
    <row r="145" spans="1:7" x14ac:dyDescent="0.2">
      <c r="A145" s="93" t="s">
        <v>413</v>
      </c>
      <c r="B145" s="96"/>
      <c r="C145" s="45"/>
      <c r="F145" s="64"/>
      <c r="G145" s="113"/>
    </row>
    <row r="146" spans="1:7" x14ac:dyDescent="0.2">
      <c r="A146" s="93"/>
      <c r="B146" s="96"/>
      <c r="C146" s="45"/>
      <c r="F146" s="64"/>
      <c r="G146" s="113"/>
    </row>
    <row r="147" spans="1:7" x14ac:dyDescent="0.2">
      <c r="A147" s="108" t="s">
        <v>414</v>
      </c>
      <c r="B147" s="53"/>
      <c r="C147" s="92"/>
      <c r="F147" s="64"/>
      <c r="G147" s="113"/>
    </row>
    <row r="148" spans="1:7" x14ac:dyDescent="0.2">
      <c r="A148" s="108" t="s">
        <v>417</v>
      </c>
      <c r="B148" s="53"/>
      <c r="C148" s="92"/>
      <c r="F148" s="64"/>
      <c r="G148" s="113"/>
    </row>
    <row r="149" spans="1:7" x14ac:dyDescent="0.2">
      <c r="A149" s="155" t="s">
        <v>418</v>
      </c>
      <c r="B149" s="55"/>
      <c r="C149" s="12"/>
      <c r="F149" s="64"/>
      <c r="G149" s="113"/>
    </row>
    <row r="150" spans="1:7" x14ac:dyDescent="0.2">
      <c r="A150" s="66" t="s">
        <v>415</v>
      </c>
      <c r="B150" s="55"/>
      <c r="C150" s="12"/>
      <c r="D150" s="48"/>
      <c r="F150" s="64"/>
      <c r="G150" s="113"/>
    </row>
    <row r="151" spans="1:7" x14ac:dyDescent="0.2">
      <c r="A151" s="93" t="s">
        <v>416</v>
      </c>
      <c r="B151" s="96"/>
      <c r="C151" s="45"/>
      <c r="F151" s="64"/>
      <c r="G151" s="113"/>
    </row>
    <row r="152" spans="1:7" x14ac:dyDescent="0.2">
      <c r="A152" s="93"/>
      <c r="B152" s="96"/>
      <c r="C152" s="96"/>
      <c r="F152" s="64"/>
      <c r="G152" s="113"/>
    </row>
    <row r="153" spans="1:7" x14ac:dyDescent="0.2">
      <c r="A153" s="47" t="s">
        <v>131</v>
      </c>
      <c r="B153" s="52"/>
      <c r="C153" s="48"/>
      <c r="F153" s="64"/>
      <c r="G153" s="113"/>
    </row>
    <row r="154" spans="1:7" x14ac:dyDescent="0.2">
      <c r="A154" s="44" t="s">
        <v>73</v>
      </c>
      <c r="B154" s="13" t="s">
        <v>9</v>
      </c>
    </row>
    <row r="155" spans="1:7" x14ac:dyDescent="0.2">
      <c r="A155" s="44" t="s">
        <v>8</v>
      </c>
      <c r="B155" s="13" t="s">
        <v>9</v>
      </c>
    </row>
  </sheetData>
  <mergeCells count="3">
    <mergeCell ref="C2:D2"/>
    <mergeCell ref="E2:F2"/>
    <mergeCell ref="G2:H2"/>
  </mergeCells>
  <phoneticPr fontId="5"/>
  <pageMargins left="0.39370078740157483" right="0.39370078740157483" top="0.98425196850393704" bottom="0.98425196850393704" header="0.51181102362204722" footer="0.51181102362204722"/>
  <pageSetup paperSize="9" scale="85" orientation="landscape" verticalDpi="300" r:id="rId1"/>
  <headerFooter alignWithMargins="0">
    <oddHeader>&amp;L&amp;F&amp;C&amp;A&amp;R&amp;D</oddHeader>
  </headerFooter>
  <rowBreaks count="3" manualBreakCount="3">
    <brk id="37" max="6" man="1"/>
    <brk id="98" max="6" man="1"/>
    <brk id="141" max="6" man="1"/>
  </rowBreaks>
  <colBreaks count="1" manualBreakCount="1">
    <brk id="8" max="4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6B0C-09A5-427A-B17B-C8AB84CB4B2B}">
  <sheetPr codeName="Sheet28">
    <pageSetUpPr fitToPage="1"/>
  </sheetPr>
  <dimension ref="A1:I40"/>
  <sheetViews>
    <sheetView view="pageBreakPreview" zoomScaleNormal="100" workbookViewId="0">
      <pane ySplit="2" topLeftCell="A3" activePane="bottomLeft" state="frozen"/>
      <selection activeCell="E62" sqref="E62"/>
      <selection pane="bottomLeft" activeCell="E33" sqref="E33"/>
    </sheetView>
  </sheetViews>
  <sheetFormatPr defaultColWidth="9" defaultRowHeight="13" x14ac:dyDescent="0.2"/>
  <cols>
    <col min="1" max="1" width="22.90625" style="169" customWidth="1"/>
    <col min="2" max="2" width="27.08984375" style="169" customWidth="1"/>
    <col min="3" max="3" width="13.90625" style="169" customWidth="1"/>
    <col min="4" max="4" width="11.7265625" style="169" customWidth="1"/>
    <col min="5" max="5" width="17.6328125" style="169" customWidth="1"/>
    <col min="6" max="6" width="13.453125" style="169" customWidth="1"/>
    <col min="7" max="7" width="28.08984375" style="169" customWidth="1"/>
    <col min="8" max="8" width="18.08984375" style="169" bestFit="1" customWidth="1"/>
    <col min="9" max="16384" width="9" style="169"/>
  </cols>
  <sheetData>
    <row r="1" spans="1:8" s="164" customFormat="1" ht="30" customHeight="1" thickBot="1" x14ac:dyDescent="0.25">
      <c r="A1" s="163"/>
    </row>
    <row r="2" spans="1:8" s="166" customFormat="1" ht="24" customHeight="1" x14ac:dyDescent="0.25">
      <c r="A2" s="165" t="s">
        <v>122</v>
      </c>
      <c r="C2" s="256" t="str">
        <f>'設定＆実行'!C2:D2</f>
        <v>管理番号：DN-030103-019.01
分類　　　：開発標準化</v>
      </c>
      <c r="D2" s="256"/>
      <c r="E2" s="257" t="s">
        <v>148</v>
      </c>
      <c r="F2" s="257"/>
      <c r="G2" s="167"/>
      <c r="H2" s="167" t="s">
        <v>683</v>
      </c>
    </row>
    <row r="3" spans="1:8" ht="25.5" customHeight="1" x14ac:dyDescent="0.35">
      <c r="A3" s="168" t="s">
        <v>668</v>
      </c>
    </row>
    <row r="5" spans="1:8" ht="14.25" customHeight="1" x14ac:dyDescent="0.2">
      <c r="A5" s="170" t="s">
        <v>768</v>
      </c>
      <c r="B5" s="171"/>
    </row>
    <row r="7" spans="1:8" x14ac:dyDescent="0.2">
      <c r="A7" s="172" t="s">
        <v>669</v>
      </c>
    </row>
    <row r="9" spans="1:8" ht="14.25" customHeight="1" x14ac:dyDescent="0.2">
      <c r="A9" s="173" t="s">
        <v>696</v>
      </c>
    </row>
    <row r="10" spans="1:8" x14ac:dyDescent="0.2">
      <c r="A10" s="174"/>
    </row>
    <row r="11" spans="1:8" x14ac:dyDescent="0.2">
      <c r="A11" s="175" t="s">
        <v>27</v>
      </c>
      <c r="B11" s="176" t="s">
        <v>62</v>
      </c>
      <c r="C11" s="176" t="s">
        <v>63</v>
      </c>
      <c r="D11" s="176" t="s">
        <v>64</v>
      </c>
      <c r="E11" s="176" t="s">
        <v>65</v>
      </c>
      <c r="F11" s="176" t="s">
        <v>124</v>
      </c>
      <c r="G11" s="258" t="s">
        <v>66</v>
      </c>
      <c r="H11" s="259"/>
    </row>
    <row r="12" spans="1:8" x14ac:dyDescent="0.2">
      <c r="A12" s="177" t="str">
        <f>IF(ISERROR(FIND("_",E12)),LOWER(E12),CONCATENATE(LOWER(LEFT(E12,(FIND("_",E12))-1)),SUBSTITUTE(PROPER(LOWER(RIGHT(E12,LEN(E12)-FIND("_",E12)))),"_","")))</f>
        <v>selectionKbn</v>
      </c>
      <c r="B12" s="178" t="s">
        <v>670</v>
      </c>
      <c r="C12" s="179" t="s">
        <v>67</v>
      </c>
      <c r="D12" s="179" t="s">
        <v>684</v>
      </c>
      <c r="E12" s="180" t="s">
        <v>685</v>
      </c>
      <c r="F12" s="181"/>
      <c r="G12" s="182"/>
      <c r="H12" s="183"/>
    </row>
    <row r="13" spans="1:8" x14ac:dyDescent="0.2">
      <c r="A13" s="177" t="str">
        <f>IF(ISERROR(FIND("_",E13)),LOWER(E13),CONCATENATE(LOWER(LEFT(E13,(FIND("_",E13))-1)),SUBSTITUTE(PROPER(LOWER(RIGHT(E13,LEN(E13)-FIND("_",E13)))),"_","")))</f>
        <v>selectionIndex</v>
      </c>
      <c r="B13" s="178" t="s">
        <v>671</v>
      </c>
      <c r="C13" s="179" t="s">
        <v>686</v>
      </c>
      <c r="D13" s="179" t="s">
        <v>687</v>
      </c>
      <c r="E13" s="180" t="s">
        <v>688</v>
      </c>
      <c r="F13" s="181"/>
      <c r="G13" s="182"/>
      <c r="H13" s="184"/>
    </row>
    <row r="14" spans="1:8" x14ac:dyDescent="0.2">
      <c r="A14" s="177" t="str">
        <f>IF(ISERROR(FIND("_",E14)),LOWER(E14),CONCATENATE(LOWER(LEFT(E14,(FIND("_",E14))-1)),SUBSTITUTE(PROPER(LOWER(RIGHT(E14,LEN(E14)-FIND("_",E14)))),"_","")))</f>
        <v>selectionName</v>
      </c>
      <c r="B14" s="178" t="s">
        <v>672</v>
      </c>
      <c r="C14" s="179" t="s">
        <v>686</v>
      </c>
      <c r="D14" s="179" t="s">
        <v>684</v>
      </c>
      <c r="E14" s="180" t="s">
        <v>689</v>
      </c>
      <c r="F14" s="181"/>
      <c r="G14" s="182"/>
      <c r="H14" s="183"/>
    </row>
    <row r="15" spans="1:8" x14ac:dyDescent="0.2">
      <c r="A15" s="177" t="s">
        <v>690</v>
      </c>
      <c r="B15" s="178" t="s">
        <v>673</v>
      </c>
      <c r="C15" s="179" t="s">
        <v>691</v>
      </c>
      <c r="D15" s="179" t="s">
        <v>690</v>
      </c>
      <c r="E15" s="180" t="s">
        <v>690</v>
      </c>
      <c r="F15" s="181" t="s">
        <v>690</v>
      </c>
      <c r="G15" s="185" t="s">
        <v>674</v>
      </c>
      <c r="H15" s="183"/>
    </row>
    <row r="16" spans="1:8" s="188" customFormat="1" x14ac:dyDescent="0.2">
      <c r="A16" s="177"/>
      <c r="B16" s="178"/>
      <c r="C16" s="186"/>
      <c r="D16" s="186"/>
      <c r="E16" s="180"/>
      <c r="F16" s="187"/>
      <c r="G16" s="182"/>
      <c r="H16" s="183"/>
    </row>
    <row r="17" spans="1:8" x14ac:dyDescent="0.2">
      <c r="A17" s="189"/>
      <c r="B17" s="190"/>
      <c r="C17" s="189"/>
      <c r="D17" s="189"/>
      <c r="E17" s="191"/>
      <c r="F17" s="192"/>
      <c r="G17" s="192"/>
      <c r="H17" s="190"/>
    </row>
    <row r="18" spans="1:8" ht="25.5" x14ac:dyDescent="0.35">
      <c r="A18" s="193" t="s">
        <v>123</v>
      </c>
      <c r="B18" s="190"/>
      <c r="C18" s="189"/>
      <c r="D18" s="189"/>
      <c r="E18" s="189"/>
      <c r="F18" s="194"/>
      <c r="G18" s="194"/>
      <c r="H18" s="189"/>
    </row>
    <row r="19" spans="1:8" ht="19" x14ac:dyDescent="0.3">
      <c r="A19" s="195" t="s">
        <v>675</v>
      </c>
      <c r="B19" s="190"/>
      <c r="C19" s="189"/>
      <c r="D19" s="189"/>
      <c r="E19" s="189"/>
      <c r="F19" s="190"/>
      <c r="G19" s="190"/>
      <c r="H19" s="189"/>
    </row>
    <row r="20" spans="1:8" ht="14" x14ac:dyDescent="0.2">
      <c r="A20" s="173" t="s">
        <v>697</v>
      </c>
      <c r="B20" s="190"/>
      <c r="C20" s="189"/>
      <c r="D20" s="189"/>
      <c r="E20" s="189"/>
      <c r="F20" s="190"/>
      <c r="G20" s="190"/>
      <c r="H20" s="189"/>
    </row>
    <row r="21" spans="1:8" x14ac:dyDescent="0.2">
      <c r="A21" s="189"/>
      <c r="B21" s="190"/>
      <c r="C21" s="189"/>
      <c r="D21" s="189"/>
      <c r="E21" s="189"/>
      <c r="F21" s="190"/>
      <c r="G21" s="190"/>
      <c r="H21" s="189"/>
    </row>
    <row r="22" spans="1:8" s="188" customFormat="1" x14ac:dyDescent="0.2">
      <c r="A22" s="196" t="s">
        <v>676</v>
      </c>
      <c r="B22" s="197"/>
      <c r="C22" s="198"/>
      <c r="D22" s="198"/>
      <c r="E22" s="198"/>
      <c r="F22" s="198"/>
      <c r="G22" s="198"/>
      <c r="H22" s="198"/>
    </row>
    <row r="23" spans="1:8" x14ac:dyDescent="0.2">
      <c r="F23" s="188"/>
      <c r="G23" s="188"/>
    </row>
    <row r="24" spans="1:8" x14ac:dyDescent="0.2">
      <c r="A24" s="199" t="s">
        <v>127</v>
      </c>
      <c r="B24" s="200"/>
      <c r="C24" s="200"/>
    </row>
    <row r="25" spans="1:8" x14ac:dyDescent="0.2">
      <c r="A25" s="201" t="s">
        <v>692</v>
      </c>
      <c r="B25" s="202"/>
      <c r="C25" s="200"/>
    </row>
    <row r="26" spans="1:8" x14ac:dyDescent="0.2">
      <c r="A26" s="203" t="s">
        <v>182</v>
      </c>
      <c r="B26" s="204"/>
      <c r="C26" s="200"/>
    </row>
    <row r="27" spans="1:8" x14ac:dyDescent="0.2">
      <c r="A27" s="203" t="s">
        <v>183</v>
      </c>
      <c r="B27" s="204"/>
      <c r="C27" s="200"/>
    </row>
    <row r="28" spans="1:8" x14ac:dyDescent="0.2">
      <c r="A28" s="203" t="s">
        <v>677</v>
      </c>
      <c r="B28" s="204"/>
      <c r="C28" s="200"/>
    </row>
    <row r="29" spans="1:8" s="188" customFormat="1" x14ac:dyDescent="0.2">
      <c r="A29" s="205"/>
      <c r="B29" s="200"/>
      <c r="C29" s="200"/>
      <c r="F29" s="190"/>
      <c r="G29" s="190"/>
    </row>
    <row r="30" spans="1:8" x14ac:dyDescent="0.2">
      <c r="A30" s="199" t="s">
        <v>128</v>
      </c>
      <c r="B30" s="206"/>
      <c r="C30" s="200"/>
      <c r="D30" s="207"/>
      <c r="E30" s="208"/>
      <c r="F30" s="190"/>
      <c r="G30" s="190"/>
    </row>
    <row r="31" spans="1:8" x14ac:dyDescent="0.2">
      <c r="A31" s="209" t="s">
        <v>678</v>
      </c>
      <c r="B31" s="203" t="s">
        <v>693</v>
      </c>
      <c r="C31" s="200"/>
      <c r="D31" s="208"/>
      <c r="E31" s="208"/>
      <c r="F31" s="190"/>
      <c r="G31" s="190"/>
    </row>
    <row r="32" spans="1:8" x14ac:dyDescent="0.2">
      <c r="A32" s="209"/>
      <c r="B32" s="203"/>
      <c r="C32" s="200"/>
      <c r="D32" s="208"/>
      <c r="E32" s="208"/>
      <c r="F32" s="190"/>
      <c r="G32" s="190"/>
    </row>
    <row r="33" spans="1:9" x14ac:dyDescent="0.2">
      <c r="A33" s="209"/>
      <c r="B33" s="203"/>
      <c r="C33" s="200"/>
      <c r="D33" s="208"/>
      <c r="E33" s="208"/>
      <c r="F33" s="190"/>
      <c r="G33" s="190"/>
    </row>
    <row r="34" spans="1:9" s="208" customFormat="1" x14ac:dyDescent="0.2">
      <c r="A34" s="200"/>
      <c r="B34" s="200"/>
      <c r="C34" s="200"/>
      <c r="F34" s="190"/>
      <c r="G34" s="190"/>
    </row>
    <row r="35" spans="1:9" x14ac:dyDescent="0.2">
      <c r="A35" s="210" t="s">
        <v>130</v>
      </c>
      <c r="B35" s="211"/>
      <c r="C35" s="212"/>
      <c r="F35" s="190"/>
      <c r="G35" s="190"/>
    </row>
    <row r="36" spans="1:9" x14ac:dyDescent="0.2">
      <c r="A36" s="213" t="s">
        <v>694</v>
      </c>
      <c r="B36" s="189"/>
      <c r="C36" s="214" t="s">
        <v>695</v>
      </c>
      <c r="F36" s="190"/>
      <c r="G36" s="190"/>
    </row>
    <row r="37" spans="1:9" x14ac:dyDescent="0.2">
      <c r="A37" s="213" t="s">
        <v>679</v>
      </c>
      <c r="B37" s="189"/>
      <c r="C37" s="214" t="s">
        <v>695</v>
      </c>
      <c r="F37" s="190"/>
      <c r="G37" s="190"/>
    </row>
    <row r="38" spans="1:9" x14ac:dyDescent="0.2">
      <c r="A38" s="213" t="s">
        <v>680</v>
      </c>
      <c r="B38" s="189"/>
      <c r="C38" s="214" t="s">
        <v>695</v>
      </c>
      <c r="F38" s="190"/>
      <c r="G38" s="190"/>
    </row>
    <row r="39" spans="1:9" x14ac:dyDescent="0.2">
      <c r="A39" s="213" t="s">
        <v>681</v>
      </c>
      <c r="B39" s="189"/>
      <c r="C39" s="215"/>
      <c r="F39" s="190"/>
      <c r="G39" s="190"/>
      <c r="I39" s="188" t="s">
        <v>682</v>
      </c>
    </row>
    <row r="40" spans="1:9" x14ac:dyDescent="0.2">
      <c r="A40" s="216"/>
      <c r="B40" s="217"/>
      <c r="C40" s="179"/>
      <c r="F40" s="190"/>
      <c r="G40" s="190"/>
      <c r="I40" s="188"/>
    </row>
  </sheetData>
  <mergeCells count="3">
    <mergeCell ref="C2:D2"/>
    <mergeCell ref="E2:F2"/>
    <mergeCell ref="G11:H11"/>
  </mergeCells>
  <phoneticPr fontId="5"/>
  <pageMargins left="0.75" right="0.75" top="0.2" bottom="0.2" header="0.51200000000000001" footer="0.51200000000000001"/>
  <pageSetup paperSize="9" scale="86" orientation="landscape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ACD9EBEE2C42D4AB65B6A1186DB49BC" ma:contentTypeVersion="16" ma:contentTypeDescription="新しいドキュメントを作成します。" ma:contentTypeScope="" ma:versionID="e0ef7c233b85cc385374973a14af0240">
  <xsd:schema xmlns:xsd="http://www.w3.org/2001/XMLSchema" xmlns:xs="http://www.w3.org/2001/XMLSchema" xmlns:p="http://schemas.microsoft.com/office/2006/metadata/properties" xmlns:ns2="846a5916-ea51-4caf-8b26-59905a5247ab" xmlns:ns3="ad2c20aa-72f2-439e-8078-77083315cf8c" targetNamespace="http://schemas.microsoft.com/office/2006/metadata/properties" ma:root="true" ma:fieldsID="5d644766782f161bed31ee5592a66cb3" ns2:_="" ns3:_="">
    <xsd:import namespace="846a5916-ea51-4caf-8b26-59905a5247ab"/>
    <xsd:import namespace="ad2c20aa-72f2-439e-8078-77083315c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a5916-ea51-4caf-8b26-59905a5247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85717d7-19ec-47d4-9288-ce56b1256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c20aa-72f2-439e-8078-77083315cf8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6ff14b-96dc-40cb-bb08-8bacc05ec04b}" ma:internalName="TaxCatchAll" ma:showField="CatchAllData" ma:web="ad2c20aa-72f2-439e-8078-77083315c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6a5916-ea51-4caf-8b26-59905a5247ab">
      <Terms xmlns="http://schemas.microsoft.com/office/infopath/2007/PartnerControls"/>
    </lcf76f155ced4ddcb4097134ff3c332f>
    <TaxCatchAll xmlns="ad2c20aa-72f2-439e-8078-77083315cf8c"/>
  </documentManagement>
</p:properties>
</file>

<file path=customXml/itemProps1.xml><?xml version="1.0" encoding="utf-8"?>
<ds:datastoreItem xmlns:ds="http://schemas.openxmlformats.org/officeDocument/2006/customXml" ds:itemID="{DE962971-CF66-46C0-A88D-72F055CD19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6a5916-ea51-4caf-8b26-59905a5247ab"/>
    <ds:schemaRef ds:uri="ad2c20aa-72f2-439e-8078-77083315cf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E5FAB5-FF5F-4EA2-9ABD-EA6F03BCB1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BAA78E-03A6-4A09-B415-8F33C2F53D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10</vt:i4>
      </vt:variant>
    </vt:vector>
  </HeadingPairs>
  <TitlesOfParts>
    <vt:vector size="21" baseType="lpstr">
      <vt:lpstr>変更履歴</vt:lpstr>
      <vt:lpstr>設定＆実行</vt:lpstr>
      <vt:lpstr>記述例</vt:lpstr>
      <vt:lpstr>対象エントリー情報(UIEntryStatusInfo)</vt:lpstr>
      <vt:lpstr>会社リスト(CodCompany)</vt:lpstr>
      <vt:lpstr>支部リスト(CodSibu)</vt:lpstr>
      <vt:lpstr>SVリスト(CodSv)</vt:lpstr>
      <vt:lpstr>出欠件数情報(UIAttendAbsentCntInfo)</vt:lpstr>
      <vt:lpstr>申込状況一覧(UISibuOnerStatusList)</vt:lpstr>
      <vt:lpstr>CSV申込状況一覧(UICsvStatusList)</vt:lpstr>
      <vt:lpstr>セレクション情報(UINatiEntrySelectInfo)</vt:lpstr>
      <vt:lpstr>'CSV申込状況一覧(UICsvStatusList)'!Print_Area</vt:lpstr>
      <vt:lpstr>'SVリスト(CodSv)'!Print_Area</vt:lpstr>
      <vt:lpstr>'セレクション情報(UINatiEntrySelectInfo)'!Print_Area</vt:lpstr>
      <vt:lpstr>'会社リスト(CodCompany)'!Print_Area</vt:lpstr>
      <vt:lpstr>記述例!Print_Area</vt:lpstr>
      <vt:lpstr>'支部リスト(CodSibu)'!Print_Area</vt:lpstr>
      <vt:lpstr>'出欠件数情報(UIAttendAbsentCntInfo)'!Print_Area</vt:lpstr>
      <vt:lpstr>'申込状況一覧(UISibuOnerStatusList)'!Print_Area</vt:lpstr>
      <vt:lpstr>'設定＆実行'!Print_Area</vt:lpstr>
      <vt:lpstr>'対象エントリー情報(UIEntryStatusInfo)'!Print_Area</vt:lpstr>
    </vt:vector>
  </TitlesOfParts>
  <Company>ISID-IT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Mrばーど</dc:title>
  <dc:subject/>
  <dc:creator>K.Nihonyanagi</dc:creator>
  <cp:lastModifiedBy>高松 颯大 Sota Takamatsu</cp:lastModifiedBy>
  <cp:lastPrinted>2006-12-20T01:49:14Z</cp:lastPrinted>
  <dcterms:created xsi:type="dcterms:W3CDTF">2001-03-12T02:01:53Z</dcterms:created>
  <dcterms:modified xsi:type="dcterms:W3CDTF">2025-12-27T12:50:53Z</dcterms:modified>
</cp:coreProperties>
</file>