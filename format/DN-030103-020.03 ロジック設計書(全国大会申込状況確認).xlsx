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lk2910\Documents\Mos-PoC-Takamatsu\format\"/>
    </mc:Choice>
  </mc:AlternateContent>
  <xr:revisionPtr revIDLastSave="0" documentId="8_{B1F4982B-1EDD-4973-9108-ACB83B69B966}" xr6:coauthVersionLast="47" xr6:coauthVersionMax="47" xr10:uidLastSave="{00000000-0000-0000-0000-000000000000}"/>
  <bookViews>
    <workbookView xWindow="-110" yWindow="-110" windowWidth="19420" windowHeight="10300" tabRatio="914" xr2:uid="{841A6634-CCAB-49BC-A830-22F56BBAABA3}"/>
  </bookViews>
  <sheets>
    <sheet name="変更履歴" sheetId="48" r:id="rId1"/>
    <sheet name="業務ロジック一覧" sheetId="1" r:id="rId2"/>
    <sheet name="検索" sheetId="10" r:id="rId3"/>
    <sheet name="テンプレート" sheetId="2" r:id="rId4"/>
    <sheet name="【BEN016L01】条件項目情報の取得" sheetId="27" r:id="rId5"/>
    <sheet name="【BEN016L02】検索対象情報取得" sheetId="45" r:id="rId6"/>
    <sheet name="【BEN016L03】CSV出力情報取得" sheetId="46" r:id="rId7"/>
    <sheet name="【BEN016L04】SVコード存在チェック" sheetId="47" r:id="rId8"/>
  </sheets>
  <definedNames>
    <definedName name="_xlnm._FilterDatabase" localSheetId="1" hidden="1">業務ロジック一覧!$B$1:$H$36</definedName>
    <definedName name="_xlnm._FilterDatabase" localSheetId="2" hidden="1">検索!$C$1:$I$40</definedName>
    <definedName name="_xlnm.Print_Area" localSheetId="4">【BEN016L01】条件項目情報の取得!$A$1:$K$73</definedName>
    <definedName name="_xlnm.Print_Area" localSheetId="5">【BEN016L02】検索対象情報取得!$A$1:$K$103</definedName>
    <definedName name="_xlnm.Print_Area" localSheetId="6">【BEN016L03】CSV出力情報取得!$A$1:$K$111</definedName>
    <definedName name="_xlnm.Print_Area" localSheetId="7">【BEN016L04】SVコード存在チェック!$A$1:$K$63</definedName>
    <definedName name="_xlnm.Print_Area" localSheetId="3">テンプレート!$A$1:$K$181</definedName>
    <definedName name="_xlnm.Print_Area" localSheetId="1">業務ロジック一覧!$B$1:$H$35</definedName>
    <definedName name="_xlnm.Print_Area" localSheetId="2">検索!$C:$I</definedName>
    <definedName name="_xlnm.Print_Titles" localSheetId="4">【BEN016L01】条件項目情報の取得!$1:$7</definedName>
    <definedName name="_xlnm.Print_Titles" localSheetId="5">【BEN016L02】検索対象情報取得!$1:$7</definedName>
    <definedName name="_xlnm.Print_Titles" localSheetId="6">【BEN016L03】CSV出力情報取得!$1:$7</definedName>
    <definedName name="_xlnm.Print_Titles" localSheetId="7">【BEN016L04】SVコード存在チェック!$1:$7</definedName>
    <definedName name="_xlnm.Print_Titles" localSheetId="3">テンプレート!$3:$7</definedName>
    <definedName name="_xlnm.Print_Titles" localSheetId="1">業務ロジック一覧!$1:$1</definedName>
    <definedName name="_xlnm.Print_Titles" localSheetId="2">検索!$1:$1</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6" l="1"/>
  <c r="B5" i="46"/>
  <c r="C32" i="46"/>
  <c r="C26" i="46"/>
  <c r="C17" i="47"/>
  <c r="C21" i="47"/>
  <c r="C30" i="45"/>
  <c r="C29" i="45"/>
  <c r="C24" i="45"/>
  <c r="C23" i="45"/>
  <c r="C31" i="27"/>
  <c r="C30" i="27"/>
  <c r="C29" i="27"/>
  <c r="C24" i="27"/>
  <c r="C23" i="27"/>
  <c r="C22" i="27"/>
  <c r="B5" i="47"/>
  <c r="B5" i="45"/>
  <c r="B5" i="27"/>
  <c r="B6" i="47"/>
  <c r="B6" i="46"/>
  <c r="B6" i="45"/>
  <c r="B6" i="27"/>
  <c r="D2" i="47"/>
  <c r="G2" i="47"/>
  <c r="I2" i="47"/>
  <c r="D2" i="46"/>
  <c r="D2" i="45"/>
  <c r="G2" i="45"/>
  <c r="I2" i="45"/>
  <c r="I2" i="27"/>
  <c r="G2" i="27"/>
  <c r="D2"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正規ユーザ</author>
    <author>xytamura</author>
  </authors>
  <commentList>
    <comment ref="A3" authorId="0" shapeId="0" xr:uid="{F60FD30C-48AA-4045-989A-41FF4D3214F3}">
      <text>
        <r>
          <rPr>
            <b/>
            <sz val="9"/>
            <color indexed="81"/>
            <rFont val="ＭＳ Ｐゴシック"/>
            <family val="3"/>
            <charset val="128"/>
          </rPr>
          <t>機能名を記述
例）代表変換</t>
        </r>
      </text>
    </comment>
    <comment ref="H4" authorId="1" shapeId="0" xr:uid="{09A298F6-66F6-426D-B4A0-7FAE5C43C994}">
      <text>
        <r>
          <rPr>
            <b/>
            <sz val="9"/>
            <color indexed="12"/>
            <rFont val="ＭＳ Ｐゴシック"/>
            <family val="3"/>
            <charset val="128"/>
          </rPr>
          <t>Required　⇒　共通更新ロジック向き</t>
        </r>
        <r>
          <rPr>
            <b/>
            <sz val="9"/>
            <color indexed="81"/>
            <rFont val="ＭＳ Ｐゴシック"/>
            <family val="3"/>
            <charset val="128"/>
          </rPr>
          <t xml:space="preserve">
トランザクションが開始されていなければ、
自動的にトランザクションを開始します。
既にトランザクションが開始されていれば、
そのトランザクションを引き継ぎます。</t>
        </r>
        <r>
          <rPr>
            <sz val="9"/>
            <color indexed="81"/>
            <rFont val="ＭＳ Ｐゴシック"/>
            <family val="3"/>
            <charset val="128"/>
          </rPr>
          <t xml:space="preserve">
</t>
        </r>
        <r>
          <rPr>
            <b/>
            <sz val="9"/>
            <color indexed="12"/>
            <rFont val="ＭＳ Ｐゴシック"/>
            <family val="3"/>
            <charset val="128"/>
          </rPr>
          <t>RequiresNew　⇒　更新ロジック向き</t>
        </r>
        <r>
          <rPr>
            <b/>
            <sz val="9"/>
            <color indexed="81"/>
            <rFont val="ＭＳ Ｐゴシック"/>
            <family val="3"/>
            <charset val="128"/>
          </rPr>
          <t xml:space="preserve">
常に新しいトランザクションを開始させます。
既存のトランザクションが開始されているなら、
既存のトランザクションを中断し、
自分自身のトランザクションの終了後、
中断したトランザクションを復帰させます。
</t>
        </r>
        <r>
          <rPr>
            <b/>
            <sz val="9"/>
            <color indexed="12"/>
            <rFont val="ＭＳ Ｐゴシック"/>
            <family val="3"/>
            <charset val="128"/>
          </rPr>
          <t>Mandatory　⇒　共通更新ロジック向き</t>
        </r>
        <r>
          <rPr>
            <b/>
            <sz val="9"/>
            <color indexed="81"/>
            <rFont val="ＭＳ Ｐゴシック"/>
            <family val="3"/>
            <charset val="128"/>
          </rPr>
          <t xml:space="preserve">
トランザクションが既に開始されてなければエラーにします。
</t>
        </r>
        <r>
          <rPr>
            <b/>
            <sz val="9"/>
            <color indexed="12"/>
            <rFont val="ＭＳ Ｐゴシック"/>
            <family val="3"/>
            <charset val="128"/>
          </rPr>
          <t>NotSupported　⇒　検索ロジック向き</t>
        </r>
        <r>
          <rPr>
            <b/>
            <sz val="9"/>
            <color indexed="81"/>
            <rFont val="ＭＳ Ｐゴシック"/>
            <family val="3"/>
            <charset val="128"/>
          </rPr>
          <t xml:space="preserve">
既存のトランザクションが開始されているなら、
既存のトランザクションを中断します。
コンポーネントのメソッドの終了後、
中断したトランザクションを復帰させます。</t>
        </r>
      </text>
    </comment>
    <comment ref="H5" authorId="1" shapeId="0" xr:uid="{7415E420-60D2-4D63-A21F-39067B1A13C6}">
      <text>
        <r>
          <rPr>
            <b/>
            <sz val="9"/>
            <color indexed="81"/>
            <rFont val="ＭＳ Ｐゴシック"/>
            <family val="3"/>
            <charset val="128"/>
          </rPr>
          <t>パッケージは
jp.co.isid.mos.bird.[カテゴリ名]..logic.
の下としてください。</t>
        </r>
      </text>
    </comment>
    <comment ref="A11" authorId="0" shapeId="0" xr:uid="{699CED6B-828A-476D-860D-57BE926C6794}">
      <text>
        <r>
          <rPr>
            <b/>
            <sz val="9"/>
            <color indexed="81"/>
            <rFont val="ＭＳ Ｐゴシック"/>
            <family val="3"/>
            <charset val="128"/>
          </rPr>
          <t>パラメータ名を記述
例）店コード</t>
        </r>
      </text>
    </comment>
    <comment ref="B11" authorId="0" shapeId="0" xr:uid="{9B7ABB9F-CBA0-4ECE-B381-86BA29A16319}">
      <text>
        <r>
          <rPr>
            <b/>
            <sz val="9"/>
            <color indexed="81"/>
            <rFont val="ＭＳ Ｐゴシック"/>
            <family val="3"/>
            <charset val="128"/>
          </rPr>
          <t xml:space="preserve">論理的なデータ型を記述
例）
数値
数字文字列：コードなど
日付文字列：yyyymmdd などの形式の文字列
エンティティ：１レコード分の情報を表します
エンティティセット：複数レコードの情報を表します
リスト：複数の値のリスト
マップ：複数の、キーと値の組み合わせ
＃Javaではオブジェクトを引数や戻り値として渡せるので、
＃このような形でも記述できるようにします
＃パラメータとして「エンティティ」や「マップ」タイプで受け取れる
＃ようにしておくと、間口が広くなり、より汎用的に
＃使えるようになります。
エンティティ：
　→テーブルの１レコードのことです。
　　「実商品エンティティ」という場合は、実商品テーブルの
　　１レコード分を表します。
エンティティセット：
　→テーブルの複数のレコード(エンティティの集まり)のことです。
　　「実商品エンティティセット」という場合は、実商品テーブルの
　　検索結果や、更新対象レコードなどを表します。
リスト：
　→同じ種類のデータ値の集まりのことです。
　　「店コードリスト」という場合は、複数の店コードのカタマリ
　　を表します。
マップ：
　→キーと値の組み合わせの集まりのことです。
　　「更新データマップ」という場合は、例えばカラム名と更新値
　　の組み合わせのカタマリなどを表します。
</t>
        </r>
      </text>
    </comment>
    <comment ref="C11" authorId="0" shapeId="0" xr:uid="{4E7CD1BF-BCA8-4AB3-A2EA-A30F773618AE}">
      <text>
        <r>
          <rPr>
            <b/>
            <sz val="9"/>
            <color indexed="81"/>
            <rFont val="ＭＳ Ｐゴシック"/>
            <family val="3"/>
            <charset val="128"/>
          </rPr>
          <t>パラメータの意味内容を記述</t>
        </r>
      </text>
    </comment>
    <comment ref="G11" authorId="0" shapeId="0" xr:uid="{86CB2259-2A14-44EA-868B-6CB1DB6A2443}">
      <text>
        <r>
          <rPr>
            <b/>
            <sz val="9"/>
            <color indexed="81"/>
            <rFont val="ＭＳ Ｐゴシック"/>
            <family val="3"/>
            <charset val="128"/>
          </rPr>
          <t>必須の場合「○」</t>
        </r>
      </text>
    </comment>
    <comment ref="H11" authorId="0" shapeId="0" xr:uid="{BF4A6185-3AB1-4F99-BDB2-0312BDC7C3D5}">
      <text>
        <r>
          <rPr>
            <b/>
            <sz val="9"/>
            <color indexed="81"/>
            <rFont val="ＭＳ Ｐゴシック"/>
            <family val="3"/>
            <charset val="128"/>
          </rPr>
          <t>Nullの場合のデフォルト値</t>
        </r>
      </text>
    </comment>
    <comment ref="A23" authorId="0" shapeId="0" xr:uid="{D7603E8B-54BE-48DA-BF0B-6549947D370E}">
      <text>
        <r>
          <rPr>
            <b/>
            <sz val="9"/>
            <color indexed="81"/>
            <rFont val="ＭＳ Ｐゴシック"/>
            <family val="3"/>
            <charset val="128"/>
          </rPr>
          <t>戻り値の名前を記述
例）実商品エンティティ</t>
        </r>
      </text>
    </comment>
    <comment ref="B23" authorId="0" shapeId="0" xr:uid="{64F18143-E5CC-4F92-B2F7-26CE61A096D9}">
      <text>
        <r>
          <rPr>
            <b/>
            <sz val="9"/>
            <color indexed="81"/>
            <rFont val="ＭＳ Ｐゴシック"/>
            <family val="3"/>
            <charset val="128"/>
          </rPr>
          <t xml:space="preserve">論理的なデータ型を記述
例）
数値
数字文字列：コードなど
日付文字列：yyyymmdd などの形式の文字列
エンティティ：１レコード分の情報を表します
エンティティセット：複数レコードの情報を表します
リスト：複数の値のリスト
マップ：複数の、キーと値の組み合わせ
＃Javaではオブジェクトを引数や戻り値として渡せるので、
＃このような形でも記述できるようにします
＃パラメータとして「エンティティ」や「マップ」タイプで受け取れる
＃ようにしておくと、間口が広くなり、より汎用的に
＃使えるようになります。
エンティティ：
　→テーブルの１レコードのことです。
　　「実商品エンティティ」という場合は、実商品テーブルの
　　１レコード分を表します。
エンティティセット：
　→テーブルの複数のレコード(エンティティの集まり)のことです。
　　「実商品エンティティセット」という場合は、実商品テーブルの
　　検索結果や、更新対象レコードなどを表します。
リスト：
　→同じ種類のデータ値の集まりのことです。
　　「店コードリスト」という場合は、複数の店コードのカタマリ
　　を表します。
マップ：
　→キーと値の組み合わせの集まりのことです。
　　「更新データマップ」という場合は、例えばカラム名と更新値
　　の組み合わせのカタマリなどを表します。
</t>
        </r>
      </text>
    </comment>
    <comment ref="C23" authorId="0" shapeId="0" xr:uid="{2DD62C16-0302-4580-BC9B-96D13DFD6BC1}">
      <text>
        <r>
          <rPr>
            <b/>
            <sz val="9"/>
            <color indexed="81"/>
            <rFont val="ＭＳ Ｐゴシック"/>
            <family val="3"/>
            <charset val="128"/>
          </rPr>
          <t>戻り値の意味内容を記述</t>
        </r>
      </text>
    </comment>
    <comment ref="G23" authorId="0" shapeId="0" xr:uid="{08CCBC3C-112E-4A40-B4B9-F300E4878DC6}">
      <text>
        <r>
          <rPr>
            <b/>
            <sz val="9"/>
            <color indexed="81"/>
            <rFont val="ＭＳ Ｐゴシック"/>
            <family val="3"/>
            <charset val="128"/>
          </rPr>
          <t>デフォルト値を戻す場合の値があれば記述</t>
        </r>
      </text>
    </comment>
    <comment ref="A31" authorId="0" shapeId="0" xr:uid="{DBE7FA82-4210-4716-9F0F-E1C40ED51D64}">
      <text>
        <r>
          <rPr>
            <b/>
            <sz val="9"/>
            <color indexed="81"/>
            <rFont val="ＭＳ Ｐゴシック"/>
            <family val="3"/>
            <charset val="128"/>
          </rPr>
          <t>使用するエンティティ名を記述
例）店配送パターン</t>
        </r>
      </text>
    </comment>
    <comment ref="B31" authorId="0" shapeId="0" xr:uid="{2534F4E2-2547-4708-ACB6-A0FC3C3754E3}">
      <text>
        <r>
          <rPr>
            <b/>
            <sz val="9"/>
            <color indexed="81"/>
            <rFont val="ＭＳ Ｐゴシック"/>
            <family val="3"/>
            <charset val="128"/>
          </rPr>
          <t>S: Select
U: Update
I:  Insert
D: Delete
を記述</t>
        </r>
      </text>
    </comment>
    <comment ref="C31" authorId="0" shapeId="0" xr:uid="{E3523EF1-AE32-40D4-9343-DCF2052F9722}">
      <text>
        <r>
          <rPr>
            <b/>
            <sz val="9"/>
            <color indexed="81"/>
            <rFont val="ＭＳ Ｐゴシック"/>
            <family val="3"/>
            <charset val="128"/>
          </rPr>
          <t>Entityクラス名を記述</t>
        </r>
      </text>
    </comment>
    <comment ref="A42" authorId="0" shapeId="0" xr:uid="{034DB338-B2B4-49E0-A311-618171000AE6}">
      <text>
        <r>
          <rPr>
            <b/>
            <sz val="9"/>
            <color indexed="81"/>
            <rFont val="ＭＳ Ｐゴシック"/>
            <family val="3"/>
            <charset val="128"/>
          </rPr>
          <t>パラメータに求められる条件を箇条書きで記述
例）
・必須項目がすべてみたされていること
・「数量」が０でないこと
                   ：
※ここでは、DBアクセスを伴う条件チェックは記述せず、単純にパラメータ値の妥当性のみ問う</t>
        </r>
      </text>
    </comment>
    <comment ref="G42" authorId="0" shapeId="0" xr:uid="{C8E09E4A-62B9-460D-9590-A988D1CFFBDA}">
      <text>
        <r>
          <rPr>
            <b/>
            <sz val="9"/>
            <color indexed="81"/>
            <rFont val="ＭＳ Ｐゴシック"/>
            <family val="3"/>
            <charset val="128"/>
          </rPr>
          <t>異常時に発生させるメッセージのIDと引数を記述します。
例）
E0601 代表変換</t>
        </r>
      </text>
    </comment>
    <comment ref="A55" authorId="0" shapeId="0" xr:uid="{0B96BDB6-8A20-422F-B0FD-84EB1BD6F852}">
      <text>
        <r>
          <rPr>
            <b/>
            <sz val="9"/>
            <color indexed="81"/>
            <rFont val="ＭＳ Ｐゴシック"/>
            <family val="3"/>
            <charset val="128"/>
          </rPr>
          <t xml:space="preserve">処理結果としてこの機能が満たすべき条件
例）
・実商品エンティティを１つだけ戻すこと
</t>
        </r>
      </text>
    </comment>
    <comment ref="G55" authorId="0" shapeId="0" xr:uid="{EBB2246A-5E6E-41D9-8D5F-B7DFD1918BB0}">
      <text>
        <r>
          <rPr>
            <b/>
            <sz val="9"/>
            <color indexed="81"/>
            <rFont val="ＭＳ Ｐゴシック"/>
            <family val="3"/>
            <charset val="128"/>
          </rPr>
          <t>異常時に発生させるメッセージのIDと引数を記述します。
例）
E0601 代表変換</t>
        </r>
      </text>
    </comment>
    <comment ref="A68" authorId="0" shapeId="0" xr:uid="{0BB6CDE6-D37E-4A9C-8EF6-0F97FF32986A}">
      <text>
        <r>
          <rPr>
            <b/>
            <sz val="9"/>
            <color indexed="81"/>
            <rFont val="ＭＳ Ｐゴシック"/>
            <family val="3"/>
            <charset val="128"/>
          </rPr>
          <t xml:space="preserve">・ 業務ロジックの処理とその流れを記入する。
・ 以下の3種類（ⅰ～ⅲ）の構文で定義される。
i. 連続：
各ステップを順番に実行する。各ステップには、連番をふる。ネストする場合には、アルファベットと数字を交互に用いる。
ii. 選択：
条件に応じて処理を分岐させる。書式は以下の通りとする。
（書式）
1. 適合するケースを選択する
  a) ケース1の場合：
    1. ＜ケース1で実施する処理＞
  b) ケース2の場合：
    1. ＜ケース2で実施する処理＞
  c) その他の場合：
    1. ＜ケース1、ケース2ともにあてはまらない条件で実施する処理＞
iii. 繰り返し：
条件に一致する間、複数のステップを繰り返す。書式は以下の通りとする。
（書式）
～の条件に一致する間、以下の処理を繰り返す
 ＜繰り返す処理＞
iv.ロジックの呼び出し：
他の業務ロジックを呼び出す。書式は以下の通りとする。
（書式）
ロジック【○○○】を実行する
</t>
        </r>
      </text>
    </comment>
    <comment ref="A126" authorId="0" shapeId="0" xr:uid="{808F2952-0DA7-49B4-AE38-7F9506A91179}">
      <text>
        <r>
          <rPr>
            <b/>
            <sz val="9"/>
            <color indexed="81"/>
            <rFont val="ＭＳ Ｐゴシック"/>
            <family val="3"/>
            <charset val="128"/>
          </rPr>
          <t xml:space="preserve">・ 業務ロジックの処理とその流れを記入する。
・ 以下の3種類（ⅰ～ⅲ）の構文で定義される。
i. 連続：
各ステップを順番に実行する。各ステップには、連番をふる。ネストする場合には、アルファベットと数字を交互に用いる。
ii. 選択：
条件に応じて処理を分岐させる。書式は以下の通りとする。
（書式）
1. 適合するケースを選択する
  a) ケース1の場合：
    1. ＜ケース1で実施する処理＞
  b) ケース2の場合：
    1. ＜ケース2で実施する処理＞
  c) その他の場合：
    1. ＜ケース1、ケース2ともにあてはまらない条件で実施する処理＞
iii. 繰り返し：
条件に一致する間、複数のステップを繰り返す。書式は以下の通りとする。
（書式）
～の条件に一致する間、以下の処理を繰り返す
 ＜繰り返す処理＞
iv.ロジックの呼び出し：
他の業務ロジックを呼び出す。書式は以下の通りとする。
（書式）
ロジック【○○○】を実行する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xytamura</author>
  </authors>
  <commentList>
    <comment ref="H4" authorId="0" shapeId="0" xr:uid="{4BE7C306-9C1D-423C-9BB1-87A8125655C6}">
      <text>
        <r>
          <rPr>
            <b/>
            <sz val="9"/>
            <color indexed="12"/>
            <rFont val="ＭＳ Ｐゴシック"/>
            <family val="3"/>
            <charset val="128"/>
          </rPr>
          <t>Required　⇒　共通更新ロジック向き</t>
        </r>
        <r>
          <rPr>
            <b/>
            <sz val="9"/>
            <color indexed="81"/>
            <rFont val="ＭＳ Ｐゴシック"/>
            <family val="3"/>
            <charset val="128"/>
          </rPr>
          <t xml:space="preserve">
トランザクションが開始されていなければ、
自動的にトランザクションを開始します。
既にトランザクションが開始されていれば、
そのトランザクションを引き継ぎます。</t>
        </r>
        <r>
          <rPr>
            <sz val="9"/>
            <color indexed="81"/>
            <rFont val="ＭＳ Ｐゴシック"/>
            <family val="3"/>
            <charset val="128"/>
          </rPr>
          <t xml:space="preserve">
</t>
        </r>
        <r>
          <rPr>
            <b/>
            <sz val="9"/>
            <color indexed="12"/>
            <rFont val="ＭＳ Ｐゴシック"/>
            <family val="3"/>
            <charset val="128"/>
          </rPr>
          <t>RequiresNew　⇒　更新ロジック向き</t>
        </r>
        <r>
          <rPr>
            <b/>
            <sz val="9"/>
            <color indexed="81"/>
            <rFont val="ＭＳ Ｐゴシック"/>
            <family val="3"/>
            <charset val="128"/>
          </rPr>
          <t xml:space="preserve">
常に新しいトランザクションを開始させます。
既存のトランザクションが開始されているなら、
既存のトランザクションを中断し、
自分自身のトランザクションの終了後、
中断したトランザクションを復帰させます。
</t>
        </r>
        <r>
          <rPr>
            <b/>
            <sz val="9"/>
            <color indexed="12"/>
            <rFont val="ＭＳ Ｐゴシック"/>
            <family val="3"/>
            <charset val="128"/>
          </rPr>
          <t>Mandatory　⇒　共通更新ロジック向き</t>
        </r>
        <r>
          <rPr>
            <b/>
            <sz val="9"/>
            <color indexed="81"/>
            <rFont val="ＭＳ Ｐゴシック"/>
            <family val="3"/>
            <charset val="128"/>
          </rPr>
          <t xml:space="preserve">
トランザクションが既に開始されてなければエラーにします。
</t>
        </r>
        <r>
          <rPr>
            <b/>
            <sz val="9"/>
            <color indexed="12"/>
            <rFont val="ＭＳ Ｐゴシック"/>
            <family val="3"/>
            <charset val="128"/>
          </rPr>
          <t>NotSupported　⇒　検索ロジック向き</t>
        </r>
        <r>
          <rPr>
            <b/>
            <sz val="9"/>
            <color indexed="81"/>
            <rFont val="ＭＳ Ｐゴシック"/>
            <family val="3"/>
            <charset val="128"/>
          </rPr>
          <t xml:space="preserve">
既存のトランザクションが開始されているなら、
既存のトランザクションを中断します。
コンポーネントのメソッドの終了後、
中断したトランザクションを復帰させます。</t>
        </r>
      </text>
    </comment>
    <comment ref="H5" authorId="0" shapeId="0" xr:uid="{75E394C1-2BA0-4AB0-90FE-19D5AB504BA2}">
      <text>
        <r>
          <rPr>
            <b/>
            <sz val="9"/>
            <color indexed="81"/>
            <rFont val="ＭＳ Ｐゴシック"/>
            <family val="3"/>
            <charset val="128"/>
          </rPr>
          <t>パッケージは
jp.co.isid.mos.bird.[カテゴリ名]..logic.
の下としてください。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xytamura</author>
  </authors>
  <commentList>
    <comment ref="H4" authorId="0" shapeId="0" xr:uid="{1573BFD9-B339-42B2-BFEB-BEEE82576B71}">
      <text>
        <r>
          <rPr>
            <b/>
            <sz val="9"/>
            <color indexed="12"/>
            <rFont val="ＭＳ Ｐゴシック"/>
            <family val="3"/>
            <charset val="128"/>
          </rPr>
          <t>Required　⇒　共通更新ロジック向き</t>
        </r>
        <r>
          <rPr>
            <b/>
            <sz val="9"/>
            <color indexed="81"/>
            <rFont val="ＭＳ Ｐゴシック"/>
            <family val="3"/>
            <charset val="128"/>
          </rPr>
          <t xml:space="preserve">
トランザクションが開始されていなければ、
自動的にトランザクションを開始します。
既にトランザクションが開始されていれば、
そのトランザクションを引き継ぎます。</t>
        </r>
        <r>
          <rPr>
            <sz val="9"/>
            <color indexed="81"/>
            <rFont val="ＭＳ Ｐゴシック"/>
            <family val="3"/>
            <charset val="128"/>
          </rPr>
          <t xml:space="preserve">
</t>
        </r>
        <r>
          <rPr>
            <b/>
            <sz val="9"/>
            <color indexed="12"/>
            <rFont val="ＭＳ Ｐゴシック"/>
            <family val="3"/>
            <charset val="128"/>
          </rPr>
          <t>RequiresNew　⇒　更新ロジック向き</t>
        </r>
        <r>
          <rPr>
            <b/>
            <sz val="9"/>
            <color indexed="81"/>
            <rFont val="ＭＳ Ｐゴシック"/>
            <family val="3"/>
            <charset val="128"/>
          </rPr>
          <t xml:space="preserve">
常に新しいトランザクションを開始させます。
既存のトランザクションが開始されているなら、
既存のトランザクションを中断し、
自分自身のトランザクションの終了後、
中断したトランザクションを復帰させます。
</t>
        </r>
        <r>
          <rPr>
            <b/>
            <sz val="9"/>
            <color indexed="12"/>
            <rFont val="ＭＳ Ｐゴシック"/>
            <family val="3"/>
            <charset val="128"/>
          </rPr>
          <t>Mandatory　⇒　共通更新ロジック向き</t>
        </r>
        <r>
          <rPr>
            <b/>
            <sz val="9"/>
            <color indexed="81"/>
            <rFont val="ＭＳ Ｐゴシック"/>
            <family val="3"/>
            <charset val="128"/>
          </rPr>
          <t xml:space="preserve">
トランザクションが既に開始されてなければエラーにします。
</t>
        </r>
        <r>
          <rPr>
            <b/>
            <sz val="9"/>
            <color indexed="12"/>
            <rFont val="ＭＳ Ｐゴシック"/>
            <family val="3"/>
            <charset val="128"/>
          </rPr>
          <t>NotSupported　⇒　検索ロジック向き</t>
        </r>
        <r>
          <rPr>
            <b/>
            <sz val="9"/>
            <color indexed="81"/>
            <rFont val="ＭＳ Ｐゴシック"/>
            <family val="3"/>
            <charset val="128"/>
          </rPr>
          <t xml:space="preserve">
既存のトランザクションが開始されているなら、
既存のトランザクションを中断します。
コンポーネントのメソッドの終了後、
中断したトランザクションを復帰させます。</t>
        </r>
      </text>
    </comment>
    <comment ref="H5" authorId="0" shapeId="0" xr:uid="{BB83DCA7-E5A8-40CB-8279-5E3BE0F40295}">
      <text>
        <r>
          <rPr>
            <b/>
            <sz val="9"/>
            <color indexed="81"/>
            <rFont val="ＭＳ Ｐゴシック"/>
            <family val="3"/>
            <charset val="128"/>
          </rPr>
          <t>パッケージは
jp.co.isid.mos.bird.[カテゴリ名]..logic.
の下としてください。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xytamura</author>
  </authors>
  <commentList>
    <comment ref="H4" authorId="0" shapeId="0" xr:uid="{41D2E55C-FC50-4A10-8C08-0E862272686C}">
      <text>
        <r>
          <rPr>
            <b/>
            <sz val="9"/>
            <color indexed="12"/>
            <rFont val="ＭＳ Ｐゴシック"/>
            <family val="3"/>
            <charset val="128"/>
          </rPr>
          <t>Required　⇒　共通更新ロジック向き</t>
        </r>
        <r>
          <rPr>
            <b/>
            <sz val="9"/>
            <color indexed="81"/>
            <rFont val="ＭＳ Ｐゴシック"/>
            <family val="3"/>
            <charset val="128"/>
          </rPr>
          <t xml:space="preserve">
トランザクションが開始されていなければ、
自動的にトランザクションを開始します。
既にトランザクションが開始されていれば、
そのトランザクションを引き継ぎます。</t>
        </r>
        <r>
          <rPr>
            <sz val="9"/>
            <color indexed="81"/>
            <rFont val="ＭＳ Ｐゴシック"/>
            <family val="3"/>
            <charset val="128"/>
          </rPr>
          <t xml:space="preserve">
</t>
        </r>
        <r>
          <rPr>
            <b/>
            <sz val="9"/>
            <color indexed="12"/>
            <rFont val="ＭＳ Ｐゴシック"/>
            <family val="3"/>
            <charset val="128"/>
          </rPr>
          <t>RequiresNew　⇒　更新ロジック向き</t>
        </r>
        <r>
          <rPr>
            <b/>
            <sz val="9"/>
            <color indexed="81"/>
            <rFont val="ＭＳ Ｐゴシック"/>
            <family val="3"/>
            <charset val="128"/>
          </rPr>
          <t xml:space="preserve">
常に新しいトランザクションを開始させます。
既存のトランザクションが開始されているなら、
既存のトランザクションを中断し、
自分自身のトランザクションの終了後、
中断したトランザクションを復帰させます。
</t>
        </r>
        <r>
          <rPr>
            <b/>
            <sz val="9"/>
            <color indexed="12"/>
            <rFont val="ＭＳ Ｐゴシック"/>
            <family val="3"/>
            <charset val="128"/>
          </rPr>
          <t>Mandatory　⇒　共通更新ロジック向き</t>
        </r>
        <r>
          <rPr>
            <b/>
            <sz val="9"/>
            <color indexed="81"/>
            <rFont val="ＭＳ Ｐゴシック"/>
            <family val="3"/>
            <charset val="128"/>
          </rPr>
          <t xml:space="preserve">
トランザクションが既に開始されてなければエラーにします。
</t>
        </r>
        <r>
          <rPr>
            <b/>
            <sz val="9"/>
            <color indexed="12"/>
            <rFont val="ＭＳ Ｐゴシック"/>
            <family val="3"/>
            <charset val="128"/>
          </rPr>
          <t>NotSupported　⇒　検索ロジック向き</t>
        </r>
        <r>
          <rPr>
            <b/>
            <sz val="9"/>
            <color indexed="81"/>
            <rFont val="ＭＳ Ｐゴシック"/>
            <family val="3"/>
            <charset val="128"/>
          </rPr>
          <t xml:space="preserve">
既存のトランザクションが開始されているなら、
既存のトランザクションを中断します。
コンポーネントのメソッドの終了後、
中断したトランザクションを復帰させます。</t>
        </r>
      </text>
    </comment>
    <comment ref="H5" authorId="0" shapeId="0" xr:uid="{16136452-8B18-4104-8593-BD2330D21EBE}">
      <text>
        <r>
          <rPr>
            <b/>
            <sz val="9"/>
            <color indexed="81"/>
            <rFont val="ＭＳ Ｐゴシック"/>
            <family val="3"/>
            <charset val="128"/>
          </rPr>
          <t>パッケージは
jp.co.isid.mos.bird.[カテゴリ名]..logic.
の下としてください。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xytamura</author>
  </authors>
  <commentList>
    <comment ref="H4" authorId="0" shapeId="0" xr:uid="{1DF6E963-43D2-441F-B30E-42326B13E060}">
      <text>
        <r>
          <rPr>
            <b/>
            <sz val="9"/>
            <color indexed="12"/>
            <rFont val="ＭＳ Ｐゴシック"/>
            <family val="3"/>
            <charset val="128"/>
          </rPr>
          <t>Required　⇒　共通更新ロジック向き</t>
        </r>
        <r>
          <rPr>
            <b/>
            <sz val="9"/>
            <color indexed="81"/>
            <rFont val="ＭＳ Ｐゴシック"/>
            <family val="3"/>
            <charset val="128"/>
          </rPr>
          <t xml:space="preserve">
トランザクションが開始されていなければ、
自動的にトランザクションを開始します。
既にトランザクションが開始されていれば、
そのトランザクションを引き継ぎます。</t>
        </r>
        <r>
          <rPr>
            <sz val="9"/>
            <color indexed="81"/>
            <rFont val="ＭＳ Ｐゴシック"/>
            <family val="3"/>
            <charset val="128"/>
          </rPr>
          <t xml:space="preserve">
</t>
        </r>
        <r>
          <rPr>
            <b/>
            <sz val="9"/>
            <color indexed="12"/>
            <rFont val="ＭＳ Ｐゴシック"/>
            <family val="3"/>
            <charset val="128"/>
          </rPr>
          <t>RequiresNew　⇒　更新ロジック向き</t>
        </r>
        <r>
          <rPr>
            <b/>
            <sz val="9"/>
            <color indexed="81"/>
            <rFont val="ＭＳ Ｐゴシック"/>
            <family val="3"/>
            <charset val="128"/>
          </rPr>
          <t xml:space="preserve">
常に新しいトランザクションを開始させます。
既存のトランザクションが開始されているなら、
既存のトランザクションを中断し、
自分自身のトランザクションの終了後、
中断したトランザクションを復帰させます。
</t>
        </r>
        <r>
          <rPr>
            <b/>
            <sz val="9"/>
            <color indexed="12"/>
            <rFont val="ＭＳ Ｐゴシック"/>
            <family val="3"/>
            <charset val="128"/>
          </rPr>
          <t>Mandatory　⇒　共通更新ロジック向き</t>
        </r>
        <r>
          <rPr>
            <b/>
            <sz val="9"/>
            <color indexed="81"/>
            <rFont val="ＭＳ Ｐゴシック"/>
            <family val="3"/>
            <charset val="128"/>
          </rPr>
          <t xml:space="preserve">
トランザクションが既に開始されてなければエラーにします。
</t>
        </r>
        <r>
          <rPr>
            <b/>
            <sz val="9"/>
            <color indexed="12"/>
            <rFont val="ＭＳ Ｐゴシック"/>
            <family val="3"/>
            <charset val="128"/>
          </rPr>
          <t>NotSupported　⇒　検索ロジック向き</t>
        </r>
        <r>
          <rPr>
            <b/>
            <sz val="9"/>
            <color indexed="81"/>
            <rFont val="ＭＳ Ｐゴシック"/>
            <family val="3"/>
            <charset val="128"/>
          </rPr>
          <t xml:space="preserve">
既存のトランザクションが開始されているなら、
既存のトランザクションを中断します。
コンポーネントのメソッドの終了後、
中断したトランザクションを復帰させます。</t>
        </r>
      </text>
    </comment>
    <comment ref="H5" authorId="0" shapeId="0" xr:uid="{B35925F2-5631-4CEA-99BE-9D8665EB6276}">
      <text>
        <r>
          <rPr>
            <b/>
            <sz val="9"/>
            <color indexed="81"/>
            <rFont val="ＭＳ Ｐゴシック"/>
            <family val="3"/>
            <charset val="128"/>
          </rPr>
          <t>パッケージは
jp.co.isid.mos.bird.[カテゴリ名]..logic.
の下としてください。</t>
        </r>
      </text>
    </comment>
  </commentList>
</comments>
</file>

<file path=xl/sharedStrings.xml><?xml version="1.0" encoding="utf-8"?>
<sst xmlns="http://schemas.openxmlformats.org/spreadsheetml/2006/main" count="455" uniqueCount="217">
  <si>
    <t>インタフェース定義</t>
    <rPh sb="7" eb="9">
      <t>テイギ</t>
    </rPh>
    <phoneticPr fontId="2"/>
  </si>
  <si>
    <t>項目名</t>
    <rPh sb="0" eb="2">
      <t>コウモク</t>
    </rPh>
    <rPh sb="2" eb="3">
      <t>メイ</t>
    </rPh>
    <phoneticPr fontId="2"/>
  </si>
  <si>
    <t>必須</t>
    <rPh sb="0" eb="2">
      <t>ヒッス</t>
    </rPh>
    <phoneticPr fontId="2"/>
  </si>
  <si>
    <t>初期値</t>
    <rPh sb="0" eb="3">
      <t>ショキチ</t>
    </rPh>
    <phoneticPr fontId="2"/>
  </si>
  <si>
    <t>機能概要</t>
    <rPh sb="0" eb="2">
      <t>キノウ</t>
    </rPh>
    <rPh sb="2" eb="4">
      <t>ガイヨウ</t>
    </rPh>
    <phoneticPr fontId="2"/>
  </si>
  <si>
    <t>事前条件</t>
    <rPh sb="0" eb="2">
      <t>ジゼン</t>
    </rPh>
    <rPh sb="2" eb="4">
      <t>ジョウケン</t>
    </rPh>
    <phoneticPr fontId="2"/>
  </si>
  <si>
    <t>処理内容</t>
    <rPh sb="0" eb="2">
      <t>ショリ</t>
    </rPh>
    <rPh sb="2" eb="4">
      <t>ナイヨウ</t>
    </rPh>
    <phoneticPr fontId="2"/>
  </si>
  <si>
    <t>事後条件</t>
    <rPh sb="0" eb="2">
      <t>ジゴ</t>
    </rPh>
    <rPh sb="2" eb="4">
      <t>ジョウケン</t>
    </rPh>
    <phoneticPr fontId="2"/>
  </si>
  <si>
    <t>データタイプ</t>
    <phoneticPr fontId="2"/>
  </si>
  <si>
    <t>パラメータ</t>
    <phoneticPr fontId="2"/>
  </si>
  <si>
    <t>リターン</t>
    <phoneticPr fontId="2"/>
  </si>
  <si>
    <t>内容</t>
    <rPh sb="0" eb="2">
      <t>ナイヨウ</t>
    </rPh>
    <phoneticPr fontId="2"/>
  </si>
  <si>
    <t>（ロジック名）</t>
    <rPh sb="5" eb="6">
      <t>メイ</t>
    </rPh>
    <phoneticPr fontId="2"/>
  </si>
  <si>
    <t>コントラクト定義</t>
    <rPh sb="6" eb="8">
      <t>テイギ</t>
    </rPh>
    <phoneticPr fontId="2"/>
  </si>
  <si>
    <t>ロジック定義</t>
    <rPh sb="4" eb="6">
      <t>テイギ</t>
    </rPh>
    <phoneticPr fontId="2"/>
  </si>
  <si>
    <t>業務ロジック名</t>
    <rPh sb="0" eb="2">
      <t>ギョウム</t>
    </rPh>
    <rPh sb="6" eb="7">
      <t>メイ</t>
    </rPh>
    <phoneticPr fontId="2"/>
  </si>
  <si>
    <t>ルールクラス</t>
    <phoneticPr fontId="2"/>
  </si>
  <si>
    <t>データI/O定義</t>
    <rPh sb="6" eb="8">
      <t>テイギ</t>
    </rPh>
    <phoneticPr fontId="2"/>
  </si>
  <si>
    <t>更新日</t>
    <rPh sb="0" eb="2">
      <t>コウシン</t>
    </rPh>
    <rPh sb="2" eb="3">
      <t>ヒ</t>
    </rPh>
    <phoneticPr fontId="2"/>
  </si>
  <si>
    <t>担当</t>
    <rPh sb="0" eb="2">
      <t>タントウ</t>
    </rPh>
    <phoneticPr fontId="2"/>
  </si>
  <si>
    <t>ステータスリスト</t>
    <phoneticPr fontId="2"/>
  </si>
  <si>
    <t>レビュー待ち</t>
    <rPh sb="4" eb="5">
      <t>マ</t>
    </rPh>
    <phoneticPr fontId="2"/>
  </si>
  <si>
    <t>暫定版</t>
    <rPh sb="0" eb="2">
      <t>ザンテイ</t>
    </rPh>
    <rPh sb="2" eb="3">
      <t>バン</t>
    </rPh>
    <phoneticPr fontId="2"/>
  </si>
  <si>
    <t>確定版</t>
    <rPh sb="0" eb="2">
      <t>カクテイ</t>
    </rPh>
    <rPh sb="2" eb="3">
      <t>バン</t>
    </rPh>
    <phoneticPr fontId="2"/>
  </si>
  <si>
    <t>ステータス</t>
    <phoneticPr fontId="2"/>
  </si>
  <si>
    <t>検索文字列</t>
    <rPh sb="0" eb="2">
      <t>ケンサク</t>
    </rPh>
    <rPh sb="2" eb="5">
      <t>モジレツ</t>
    </rPh>
    <phoneticPr fontId="2"/>
  </si>
  <si>
    <t>ルールクラス</t>
    <phoneticPr fontId="2"/>
  </si>
  <si>
    <t>ステータス</t>
    <phoneticPr fontId="2"/>
  </si>
  <si>
    <t>データタイプ</t>
    <phoneticPr fontId="2"/>
  </si>
  <si>
    <t>ロジックNO</t>
    <phoneticPr fontId="2"/>
  </si>
  <si>
    <t>ロジックNO</t>
    <phoneticPr fontId="2"/>
  </si>
  <si>
    <t>メッセージID（引数）</t>
    <rPh sb="8" eb="10">
      <t>ヒキスウ</t>
    </rPh>
    <phoneticPr fontId="2"/>
  </si>
  <si>
    <t>店コード</t>
    <rPh sb="0" eb="1">
      <t>ミセ</t>
    </rPh>
    <phoneticPr fontId="2"/>
  </si>
  <si>
    <t>TX属性</t>
    <rPh sb="2" eb="4">
      <t>ゾクセイ</t>
    </rPh>
    <phoneticPr fontId="2"/>
  </si>
  <si>
    <t>[BIRD]ロジック設計書</t>
    <rPh sb="10" eb="13">
      <t>セッケイショ</t>
    </rPh>
    <phoneticPr fontId="2"/>
  </si>
  <si>
    <t>使用Dao名</t>
    <rPh sb="0" eb="2">
      <t>シヨウ</t>
    </rPh>
    <rPh sb="5" eb="6">
      <t>メイ</t>
    </rPh>
    <phoneticPr fontId="2"/>
  </si>
  <si>
    <t>Daoクラス名</t>
    <rPh sb="6" eb="7">
      <t>メイ</t>
    </rPh>
    <phoneticPr fontId="2"/>
  </si>
  <si>
    <t>ロジッククラス</t>
    <phoneticPr fontId="2"/>
  </si>
  <si>
    <t>ロジックNO</t>
    <phoneticPr fontId="2"/>
  </si>
  <si>
    <t>ステータス</t>
    <phoneticPr fontId="2"/>
  </si>
  <si>
    <t>ステータスリスト</t>
    <phoneticPr fontId="2"/>
  </si>
  <si>
    <t>リターン</t>
    <phoneticPr fontId="2"/>
  </si>
  <si>
    <t>パラメータ</t>
    <phoneticPr fontId="2"/>
  </si>
  <si>
    <t>List</t>
    <phoneticPr fontId="2"/>
  </si>
  <si>
    <t>パラメーター：</t>
    <phoneticPr fontId="2"/>
  </si>
  <si>
    <t>暫定版</t>
  </si>
  <si>
    <t>１．事前条件判断処理実行を行う。</t>
    <rPh sb="2" eb="4">
      <t>ジゼン</t>
    </rPh>
    <rPh sb="4" eb="6">
      <t>ジョウケン</t>
    </rPh>
    <rPh sb="6" eb="8">
      <t>ハンダン</t>
    </rPh>
    <rPh sb="8" eb="10">
      <t>ショリ</t>
    </rPh>
    <rPh sb="10" eb="12">
      <t>ジッコウ</t>
    </rPh>
    <rPh sb="13" eb="14">
      <t>オコナ</t>
    </rPh>
    <phoneticPr fontId="2"/>
  </si>
  <si>
    <t>文字列</t>
    <rPh sb="0" eb="3">
      <t>モジレツ</t>
    </rPh>
    <phoneticPr fontId="2"/>
  </si>
  <si>
    <t>List</t>
    <phoneticPr fontId="2"/>
  </si>
  <si>
    <t>○</t>
    <phoneticPr fontId="2"/>
  </si>
  <si>
    <t>List</t>
    <phoneticPr fontId="2"/>
  </si>
  <si>
    <t>NotSupported</t>
  </si>
  <si>
    <t>条件項目情報の取得</t>
    <rPh sb="0" eb="2">
      <t>ジョウケン</t>
    </rPh>
    <rPh sb="2" eb="4">
      <t>コウモク</t>
    </rPh>
    <rPh sb="4" eb="6">
      <t>ジョウホウ</t>
    </rPh>
    <rPh sb="7" eb="9">
      <t>シュトク</t>
    </rPh>
    <phoneticPr fontId="2"/>
  </si>
  <si>
    <t>システム日付</t>
    <rPh sb="4" eb="6">
      <t>ヒヅケ</t>
    </rPh>
    <phoneticPr fontId="2"/>
  </si>
  <si>
    <t>パラメーター.システム日付</t>
    <rPh sb="11" eb="13">
      <t>ヒヅケ</t>
    </rPh>
    <phoneticPr fontId="2"/>
  </si>
  <si>
    <t>登録可能対象事業方針説明会情報を取得します。</t>
    <rPh sb="0" eb="2">
      <t>トウロク</t>
    </rPh>
    <rPh sb="2" eb="4">
      <t>カノウ</t>
    </rPh>
    <rPh sb="16" eb="18">
      <t>シュトク</t>
    </rPh>
    <phoneticPr fontId="2"/>
  </si>
  <si>
    <t>E0202</t>
    <phoneticPr fontId="2"/>
  </si>
  <si>
    <t>（@システム日付）</t>
    <rPh sb="6" eb="8">
      <t>ヒヅケ</t>
    </rPh>
    <phoneticPr fontId="2"/>
  </si>
  <si>
    <t>エントリーコード</t>
    <phoneticPr fontId="2"/>
  </si>
  <si>
    <t>パラメータ</t>
    <phoneticPr fontId="2"/>
  </si>
  <si>
    <t>○</t>
    <phoneticPr fontId="2"/>
  </si>
  <si>
    <t>リターン</t>
    <phoneticPr fontId="2"/>
  </si>
  <si>
    <t>E0202</t>
    <phoneticPr fontId="2"/>
  </si>
  <si>
    <t>エントリー年</t>
    <rPh sb="5" eb="6">
      <t>ネン</t>
    </rPh>
    <phoneticPr fontId="2"/>
  </si>
  <si>
    <t>エントリー回</t>
    <rPh sb="5" eb="6">
      <t>カイ</t>
    </rPh>
    <phoneticPr fontId="2"/>
  </si>
  <si>
    <t>１．事前条件処理を実行する。</t>
  </si>
  <si>
    <t>２．リターン値Mapをインスタンス化する。</t>
  </si>
  <si>
    <t>検索対象情報取得</t>
    <rPh sb="2" eb="4">
      <t>タイショウ</t>
    </rPh>
    <rPh sb="6" eb="8">
      <t>シュトク</t>
    </rPh>
    <phoneticPr fontId="2"/>
  </si>
  <si>
    <t>BIRDユーザー情報</t>
    <rPh sb="8" eb="10">
      <t>ジョウホウ</t>
    </rPh>
    <phoneticPr fontId="2"/>
  </si>
  <si>
    <t>BirdUserInfo</t>
    <phoneticPr fontId="2"/>
  </si>
  <si>
    <t>対象エントリー情報</t>
    <rPh sb="0" eb="2">
      <t>タイショウ</t>
    </rPh>
    <rPh sb="7" eb="9">
      <t>ジョウホウ</t>
    </rPh>
    <phoneticPr fontId="2"/>
  </si>
  <si>
    <t>会社リスト</t>
    <rPh sb="0" eb="2">
      <t>カイシャ</t>
    </rPh>
    <phoneticPr fontId="2"/>
  </si>
  <si>
    <t>支部リスト</t>
    <rPh sb="0" eb="2">
      <t>シブ</t>
    </rPh>
    <phoneticPr fontId="2"/>
  </si>
  <si>
    <t>（@ユーザー情報）</t>
    <rPh sb="6" eb="8">
      <t>ジョウホウ</t>
    </rPh>
    <phoneticPr fontId="2"/>
  </si>
  <si>
    <t>（@エントリーコード）</t>
    <phoneticPr fontId="2"/>
  </si>
  <si>
    <t>（@エントリー年）</t>
    <rPh sb="7" eb="8">
      <t>ネン</t>
    </rPh>
    <phoneticPr fontId="2"/>
  </si>
  <si>
    <t>（@エントリー回）</t>
    <rPh sb="7" eb="8">
      <t>カイ</t>
    </rPh>
    <phoneticPr fontId="2"/>
  </si>
  <si>
    <t>必須パラメーターがあるか。</t>
    <rPh sb="0" eb="2">
      <t>ヒッス</t>
    </rPh>
    <phoneticPr fontId="2"/>
  </si>
  <si>
    <t>３．Dao【会社リスト】．検索 を実行し、実行結果[[会社リスト]]を取得する。</t>
    <rPh sb="27" eb="29">
      <t>カイシャ</t>
    </rPh>
    <phoneticPr fontId="2"/>
  </si>
  <si>
    <t>パラメーター.ユーザー情報.ユーザーID</t>
    <rPh sb="11" eb="13">
      <t>ジョウホウ</t>
    </rPh>
    <phoneticPr fontId="2"/>
  </si>
  <si>
    <t>パラメーター.ユーザー情報.支部制限区分</t>
    <rPh sb="11" eb="13">
      <t>ジョウホウ</t>
    </rPh>
    <rPh sb="14" eb="16">
      <t>シブ</t>
    </rPh>
    <rPh sb="16" eb="18">
      <t>セイゲン</t>
    </rPh>
    <rPh sb="18" eb="20">
      <t>クブン</t>
    </rPh>
    <phoneticPr fontId="2"/>
  </si>
  <si>
    <t>パラメーター.エントリーコード</t>
    <phoneticPr fontId="2"/>
  </si>
  <si>
    <t>パラメーター.エントリー年</t>
    <rPh sb="12" eb="13">
      <t>ネン</t>
    </rPh>
    <phoneticPr fontId="2"/>
  </si>
  <si>
    <t>パラメーター.エントリー回</t>
  </si>
  <si>
    <t>パラメーター.エントリー回</t>
    <rPh sb="12" eb="13">
      <t>カイ</t>
    </rPh>
    <phoneticPr fontId="2"/>
  </si>
  <si>
    <t>８．処理７の実行結果をリターン値Mapへ格納する。</t>
    <phoneticPr fontId="2"/>
  </si>
  <si>
    <t>９．リターン値Mapをリターンする。</t>
    <phoneticPr fontId="2"/>
  </si>
  <si>
    <t>７．Dao【対象エントリー情報】.検索を実行し、 実行結果[[対象エントリー情報]]を取得する。</t>
    <phoneticPr fontId="2"/>
  </si>
  <si>
    <t>６．処理５の実行結果をリターン値Mapへ格納する。</t>
    <phoneticPr fontId="2"/>
  </si>
  <si>
    <t>５． DAO【支部リスト】．検索 を実行し、実行結果[[支部リスト]]を取得する。</t>
    <phoneticPr fontId="2"/>
  </si>
  <si>
    <t>４．処理３の実行結果をリターン値Mapへ格納する。</t>
    <phoneticPr fontId="2"/>
  </si>
  <si>
    <t>entity</t>
    <phoneticPr fontId="2"/>
  </si>
  <si>
    <t>対象条件</t>
    <rPh sb="0" eb="2">
      <t>タイショウ</t>
    </rPh>
    <rPh sb="2" eb="4">
      <t>ジョウケン</t>
    </rPh>
    <phoneticPr fontId="2"/>
  </si>
  <si>
    <t>支部コード</t>
    <rPh sb="0" eb="2">
      <t>シブ</t>
    </rPh>
    <phoneticPr fontId="2"/>
  </si>
  <si>
    <t>SVコード</t>
    <phoneticPr fontId="2"/>
  </si>
  <si>
    <t>△</t>
    <phoneticPr fontId="2"/>
  </si>
  <si>
    <t>（@対象エントリー情報）</t>
    <rPh sb="2" eb="4">
      <t>タイショウ</t>
    </rPh>
    <rPh sb="9" eb="11">
      <t>ジョウホウ</t>
    </rPh>
    <phoneticPr fontId="2"/>
  </si>
  <si>
    <t>E0506</t>
    <phoneticPr fontId="2"/>
  </si>
  <si>
    <t>（@対象条件）</t>
    <rPh sb="2" eb="4">
      <t>タイショウ</t>
    </rPh>
    <rPh sb="4" eb="6">
      <t>ジョウケン</t>
    </rPh>
    <phoneticPr fontId="2"/>
  </si>
  <si>
    <t>入力値の必須は満たされているか？</t>
    <rPh sb="0" eb="3">
      <t>ニュウリョクチ</t>
    </rPh>
    <rPh sb="4" eb="6">
      <t>ヒッス</t>
    </rPh>
    <rPh sb="7" eb="8">
      <t>ミ</t>
    </rPh>
    <phoneticPr fontId="2"/>
  </si>
  <si>
    <t>E0506</t>
    <phoneticPr fontId="2"/>
  </si>
  <si>
    <t>対象条件が支部の場合。</t>
    <rPh sb="0" eb="2">
      <t>タイショウ</t>
    </rPh>
    <rPh sb="2" eb="4">
      <t>ジョウケン</t>
    </rPh>
    <rPh sb="5" eb="7">
      <t>シブ</t>
    </rPh>
    <rPh sb="8" eb="10">
      <t>バアイ</t>
    </rPh>
    <phoneticPr fontId="2"/>
  </si>
  <si>
    <t>対象条件がSVコードの場合。</t>
    <rPh sb="0" eb="2">
      <t>タイショウ</t>
    </rPh>
    <rPh sb="2" eb="4">
      <t>ジョウケン</t>
    </rPh>
    <rPh sb="11" eb="13">
      <t>バアイ</t>
    </rPh>
    <phoneticPr fontId="2"/>
  </si>
  <si>
    <t>（@支部）</t>
    <rPh sb="2" eb="4">
      <t>シブ</t>
    </rPh>
    <phoneticPr fontId="2"/>
  </si>
  <si>
    <t>（@SVコード）</t>
    <phoneticPr fontId="2"/>
  </si>
  <si>
    <t>パラメータ</t>
    <phoneticPr fontId="2"/>
  </si>
  <si>
    <t>○</t>
    <phoneticPr fontId="2"/>
  </si>
  <si>
    <t>E0202</t>
    <phoneticPr fontId="2"/>
  </si>
  <si>
    <t>E0506</t>
    <phoneticPr fontId="2"/>
  </si>
  <si>
    <t>（@SVコード）</t>
    <phoneticPr fontId="2"/>
  </si>
  <si>
    <t>CSV出力情報取得</t>
  </si>
  <si>
    <t>CSV出力情報を取得します。</t>
  </si>
  <si>
    <t>CSV出力情報を取得します。</t>
    <rPh sb="3" eb="5">
      <t>シュツリョク</t>
    </rPh>
    <rPh sb="5" eb="7">
      <t>ジョウホウ</t>
    </rPh>
    <rPh sb="8" eb="10">
      <t>シュトク</t>
    </rPh>
    <phoneticPr fontId="2"/>
  </si>
  <si>
    <t>出欠件数情報</t>
    <rPh sb="0" eb="2">
      <t>シュッケツ</t>
    </rPh>
    <rPh sb="2" eb="4">
      <t>ケンスウ</t>
    </rPh>
    <rPh sb="4" eb="6">
      <t>ジョウホウ</t>
    </rPh>
    <phoneticPr fontId="2"/>
  </si>
  <si>
    <t>申込状況一覧</t>
    <rPh sb="0" eb="2">
      <t>モウシコミ</t>
    </rPh>
    <rPh sb="2" eb="4">
      <t>ジョウキョウ</t>
    </rPh>
    <rPh sb="4" eb="6">
      <t>イチラン</t>
    </rPh>
    <phoneticPr fontId="2"/>
  </si>
  <si>
    <t>３．DAO【出欠件数情報】.検索を実行し、実行結果[[出欠件数情報]]をリターン値Mapへ格納する。</t>
  </si>
  <si>
    <t>パラメーター.エントリー年</t>
    <phoneticPr fontId="2"/>
  </si>
  <si>
    <t>パラメーター.エントリーコード</t>
    <phoneticPr fontId="2"/>
  </si>
  <si>
    <t>パラメーター.対象条件</t>
    <rPh sb="7" eb="9">
      <t>タイショウ</t>
    </rPh>
    <rPh sb="9" eb="11">
      <t>ジョウケン</t>
    </rPh>
    <phoneticPr fontId="2"/>
  </si>
  <si>
    <t>パラメーター.支部コード</t>
    <rPh sb="7" eb="9">
      <t>シブ</t>
    </rPh>
    <phoneticPr fontId="2"/>
  </si>
  <si>
    <t>パラメーター.SVコード</t>
    <phoneticPr fontId="2"/>
  </si>
  <si>
    <t>４．DAO【申込状況一覧】.検索を実行し、実行結果[[申込状況一覧]]をリターン値Mapへ格納する。</t>
  </si>
  <si>
    <t>５．リターン値Mapをリターンする。</t>
  </si>
  <si>
    <t>ファイル名取得処理内容</t>
    <rPh sb="4" eb="5">
      <t>メイ</t>
    </rPh>
    <rPh sb="5" eb="7">
      <t>シュトク</t>
    </rPh>
    <rPh sb="7" eb="9">
      <t>ショリ</t>
    </rPh>
    <rPh sb="9" eb="11">
      <t>ナイヨウ</t>
    </rPh>
    <phoneticPr fontId="2"/>
  </si>
  <si>
    <t>CSV出力データ取得処理内容</t>
    <rPh sb="3" eb="5">
      <t>シュツリョク</t>
    </rPh>
    <rPh sb="8" eb="10">
      <t>シュトク</t>
    </rPh>
    <rPh sb="10" eb="12">
      <t>ショリ</t>
    </rPh>
    <rPh sb="12" eb="14">
      <t>ナイヨウ</t>
    </rPh>
    <phoneticPr fontId="2"/>
  </si>
  <si>
    <t>１．変数[[CSV申込状況一覧]]を生成する。</t>
  </si>
  <si>
    <t>４．該当データが存在しない場合、下記のExceptionを発生させる。</t>
  </si>
  <si>
    <t>６．[[CSV出力データ]]リストをインスタンスかする。</t>
  </si>
  <si>
    <t>７．CSVレイアウト　ヘッダ部を作成する。</t>
  </si>
  <si>
    <t>８．CSVレイアウト　データ部タイトルを作成する。</t>
  </si>
  <si>
    <t>９.変数[[CSV申込状況一覧]]を基に件数分の[CSV出力データ]を生成し、[[CSV出力データ]]リストへ格納する。</t>
  </si>
  <si>
    <t>１０．[[CSV出力データ]]リストをリターンする。</t>
  </si>
  <si>
    <t>　　　　　　ファイル名：　”NATIONAL_MITOUROKU”</t>
    <rPh sb="10" eb="11">
      <t>メイ</t>
    </rPh>
    <phoneticPr fontId="2"/>
  </si>
  <si>
    <t>　　　　　　ファイル名：　”NATIONAL_SANKA”</t>
    <rPh sb="10" eb="11">
      <t>メイ</t>
    </rPh>
    <phoneticPr fontId="2"/>
  </si>
  <si>
    <t>　　　　　　ファイル名：　”NATIONAL_FUSANKA”</t>
    <rPh sb="10" eb="11">
      <t>メイ</t>
    </rPh>
    <phoneticPr fontId="2"/>
  </si>
  <si>
    <t>パラメータ</t>
    <phoneticPr fontId="2"/>
  </si>
  <si>
    <t>SVコード</t>
    <phoneticPr fontId="2"/>
  </si>
  <si>
    <t>リターン</t>
    <phoneticPr fontId="2"/>
  </si>
  <si>
    <t>List</t>
    <phoneticPr fontId="2"/>
  </si>
  <si>
    <t>　　　　MSG【E0102】’該当データーがありません。’</t>
    <phoneticPr fontId="2"/>
  </si>
  <si>
    <t>SVコード存在チェック</t>
  </si>
  <si>
    <t>SVコードの存在チェックを行います。</t>
  </si>
  <si>
    <t>SVコードの存在チェックを行います。</t>
    <rPh sb="6" eb="8">
      <t>ソンザイ</t>
    </rPh>
    <rPh sb="13" eb="14">
      <t>オコナ</t>
    </rPh>
    <phoneticPr fontId="2"/>
  </si>
  <si>
    <t>CSV申込状況一覧</t>
  </si>
  <si>
    <t>CSVファイル名称</t>
    <rPh sb="7" eb="9">
      <t>メイショウ</t>
    </rPh>
    <phoneticPr fontId="2"/>
  </si>
  <si>
    <t>CSV出力データ</t>
    <rPh sb="3" eb="5">
      <t>シュツリョク</t>
    </rPh>
    <phoneticPr fontId="2"/>
  </si>
  <si>
    <t>SVリスト</t>
  </si>
  <si>
    <t>SVコード存在チェック</t>
    <phoneticPr fontId="2"/>
  </si>
  <si>
    <t>１．事前条件判断処理</t>
  </si>
  <si>
    <t>２．パラメータ.SVコードを前ゼロ付加する。</t>
  </si>
  <si>
    <t>３．Dao【SVリスト】の検索を実行する。</t>
  </si>
  <si>
    <t>４．該当データが存在しない場合、下記のExceptionを発生させる。</t>
    <rPh sb="2" eb="4">
      <t>ガイトウ</t>
    </rPh>
    <rPh sb="8" eb="10">
      <t>ソンザイ</t>
    </rPh>
    <rPh sb="13" eb="15">
      <t>バアイ</t>
    </rPh>
    <rPh sb="16" eb="18">
      <t>カキ</t>
    </rPh>
    <rPh sb="29" eb="31">
      <t>ハッセイ</t>
    </rPh>
    <phoneticPr fontId="2"/>
  </si>
  <si>
    <t>MSG【E0103】’が存在しません。’</t>
  </si>
  <si>
    <t>throw new NotExistException("該当SVコード", "targetSvCd",0);</t>
  </si>
  <si>
    <t>５．パラメータ.SVコードをリターンする。</t>
    <phoneticPr fontId="2"/>
  </si>
  <si>
    <t>○</t>
    <phoneticPr fontId="2"/>
  </si>
  <si>
    <t>BEN016L01</t>
  </si>
  <si>
    <t>条件項目情報の取得</t>
  </si>
  <si>
    <t>登録可能対象事業方針説明会情報を取得します。</t>
  </si>
  <si>
    <t>BEN016L02</t>
  </si>
  <si>
    <t>検索対象情報取得</t>
  </si>
  <si>
    <t>BEN016L03</t>
  </si>
  <si>
    <t>BEN016L04</t>
  </si>
  <si>
    <t>会社コード</t>
    <rPh sb="0" eb="2">
      <t>カイシャ</t>
    </rPh>
    <phoneticPr fontId="2"/>
  </si>
  <si>
    <t>（@会社コード）</t>
    <rPh sb="2" eb="4">
      <t>カイシャ</t>
    </rPh>
    <phoneticPr fontId="2"/>
  </si>
  <si>
    <t>作成者：ISID-IT 衣川
作成日：2006/12/27</t>
    <rPh sb="12" eb="14">
      <t>キヌガワ</t>
    </rPh>
    <phoneticPr fontId="2"/>
  </si>
  <si>
    <t>入力値の必須は満たされているか？</t>
  </si>
  <si>
    <t>jp.co.isid.mos.bird.entry.nationalviewlist</t>
    <phoneticPr fontId="2"/>
  </si>
  <si>
    <t>BEN016L</t>
    <phoneticPr fontId="2"/>
  </si>
  <si>
    <t>管理番号：DN-030103-019.01
分類　　　：ロジック設計書</t>
    <rPh sb="32" eb="35">
      <t>セッケイショ</t>
    </rPh>
    <phoneticPr fontId="2"/>
  </si>
  <si>
    <t>DTO【申込状況確認】</t>
    <rPh sb="4" eb="6">
      <t>モウシコミ</t>
    </rPh>
    <rPh sb="6" eb="8">
      <t>ジョウキョウ</t>
    </rPh>
    <rPh sb="8" eb="10">
      <t>カクニン</t>
    </rPh>
    <phoneticPr fontId="2"/>
  </si>
  <si>
    <t>DTO</t>
    <phoneticPr fontId="2"/>
  </si>
  <si>
    <t>csvOutputDto</t>
    <phoneticPr fontId="2"/>
  </si>
  <si>
    <t>ファイル名取得処理リターン</t>
    <phoneticPr fontId="2"/>
  </si>
  <si>
    <t>String</t>
    <phoneticPr fontId="2"/>
  </si>
  <si>
    <t>CSV出力データ取得処理リターン</t>
    <phoneticPr fontId="2"/>
  </si>
  <si>
    <t>List</t>
    <phoneticPr fontId="2"/>
  </si>
  <si>
    <t>（@DTO【申込状況確認】）</t>
    <rPh sb="6" eb="8">
      <t>モウシコミ</t>
    </rPh>
    <rPh sb="8" eb="10">
      <t>ジョウキョウ</t>
    </rPh>
    <rPh sb="10" eb="12">
      <t>カクニン</t>
    </rPh>
    <phoneticPr fontId="2"/>
  </si>
  <si>
    <t>１．パラメーター.DTO【申込状況確認】.区分＝’参加’の場合以下の名前をリターンする。</t>
  </si>
  <si>
    <t>　＋パラメーター.DTO【申込状況確認】.[対象エントリー情報].エントリー年</t>
    <rPh sb="38" eb="39">
      <t>ネン</t>
    </rPh>
    <phoneticPr fontId="2"/>
  </si>
  <si>
    <t>　＋パラメーター.DTO【申込状況確認】.[対象エントリー情報].エントリー回</t>
    <rPh sb="38" eb="39">
      <t>カイ</t>
    </rPh>
    <phoneticPr fontId="2"/>
  </si>
  <si>
    <t>　＋”.csv”</t>
    <phoneticPr fontId="2"/>
  </si>
  <si>
    <t>２．パラメーター.DTO【申込状況確認】.区分＝’不参加’の場合以下の名前をリターンする。</t>
  </si>
  <si>
    <t>３．パラメーター.DTO【申込状況確認】.区分＝’未登録’の場合以下の名前をリターンする。</t>
  </si>
  <si>
    <t>２．パラメーター.DTO【申込状況確認】.区分＝’未登録’の場合、下記の処理を行う。</t>
  </si>
  <si>
    <t>　　　　２－１．DAO【CSV申込状況一覧】.未登録オーナー検索を実行し、処理１の変数[[CSV申込状況一覧]]へ代入する。</t>
    <phoneticPr fontId="2"/>
  </si>
  <si>
    <t>３．パラメーター.DTO【申込状況確認】.区分＝’参加’or ’不参加’の場合、下記の処理を行う。</t>
  </si>
  <si>
    <t>　　　　３－１．DAO【CSV申込状況一覧】.検索を実行し、処理１の変数[[CSV申込状況一覧]]へ代入する。</t>
    <phoneticPr fontId="2"/>
  </si>
  <si>
    <t>５．パラメーター.DTO【申込状況確認】.CSV用検索結果へ変数[[CSV申込状況一覧]]を設定する。</t>
  </si>
  <si>
    <t>エントリーセレクション情報の取得処理</t>
    <phoneticPr fontId="2"/>
  </si>
  <si>
    <t>List</t>
    <phoneticPr fontId="2"/>
  </si>
  <si>
    <t xml:space="preserve"> 8-1、オプショナル部の名を取得する</t>
    <rPh sb="11" eb="12">
      <t>ブ</t>
    </rPh>
    <rPh sb="13" eb="14">
      <t>ナ</t>
    </rPh>
    <rPh sb="15" eb="17">
      <t>シュトク</t>
    </rPh>
    <phoneticPr fontId="2"/>
  </si>
  <si>
    <t xml:space="preserve"> 8-2、オプショナルのタイトルを画面の名称も含めて表示する</t>
    <phoneticPr fontId="2"/>
  </si>
  <si>
    <t xml:space="preserve"> 8-3、生年月日、備考１を追加して、備考を備考２に変換する</t>
    <rPh sb="5" eb="6">
      <t>セイ</t>
    </rPh>
    <rPh sb="6" eb="8">
      <t>ネンゲツ</t>
    </rPh>
    <rPh sb="8" eb="9">
      <t>ビ</t>
    </rPh>
    <rPh sb="10" eb="12">
      <t>ビコウ</t>
    </rPh>
    <rPh sb="14" eb="16">
      <t>ツイカ</t>
    </rPh>
    <rPh sb="19" eb="21">
      <t>ビコウ</t>
    </rPh>
    <rPh sb="22" eb="24">
      <t>ビコウ</t>
    </rPh>
    <rPh sb="26" eb="28">
      <t>ヘンカン</t>
    </rPh>
    <phoneticPr fontId="2"/>
  </si>
  <si>
    <t xml:space="preserve"> 9-1、生年月日を「yyyy/mm/nn」フォーマットで表示する</t>
    <rPh sb="5" eb="7">
      <t>セイネン</t>
    </rPh>
    <rPh sb="7" eb="8">
      <t>ゲツ</t>
    </rPh>
    <rPh sb="8" eb="9">
      <t>ビ</t>
    </rPh>
    <rPh sb="29" eb="31">
      <t>ヒョウジ</t>
    </rPh>
    <phoneticPr fontId="2"/>
  </si>
  <si>
    <t xml:space="preserve"> 9-2、申込区分の出力内容を名称で表示する</t>
    <rPh sb="5" eb="7">
      <t>モウシコミ</t>
    </rPh>
    <rPh sb="7" eb="9">
      <t>クブン</t>
    </rPh>
    <rPh sb="10" eb="12">
      <t>シュツリョク</t>
    </rPh>
    <rPh sb="12" eb="14">
      <t>ナイヨウ</t>
    </rPh>
    <rPh sb="15" eb="17">
      <t>メイショウ</t>
    </rPh>
    <rPh sb="18" eb="20">
      <t>ヒョウジ</t>
    </rPh>
    <phoneticPr fontId="2"/>
  </si>
  <si>
    <t>承認履歴</t>
    <rPh sb="0" eb="2">
      <t>ショウニン</t>
    </rPh>
    <rPh sb="2" eb="4">
      <t>リレキ</t>
    </rPh>
    <phoneticPr fontId="2"/>
  </si>
  <si>
    <t>バージョン</t>
    <phoneticPr fontId="2"/>
  </si>
  <si>
    <t>変更管理NO</t>
    <rPh sb="0" eb="2">
      <t>ヘンコウ</t>
    </rPh>
    <rPh sb="2" eb="4">
      <t>カンリ</t>
    </rPh>
    <phoneticPr fontId="2"/>
  </si>
  <si>
    <t>作成</t>
    <rPh sb="0" eb="2">
      <t>サクセイ</t>
    </rPh>
    <phoneticPr fontId="2"/>
  </si>
  <si>
    <t>レビュー</t>
    <phoneticPr fontId="2"/>
  </si>
  <si>
    <t>承認</t>
    <rPh sb="0" eb="2">
      <t>ショウニン</t>
    </rPh>
    <phoneticPr fontId="2"/>
  </si>
  <si>
    <t>担当者</t>
    <rPh sb="0" eb="3">
      <t>タントウシャ</t>
    </rPh>
    <phoneticPr fontId="2"/>
  </si>
  <si>
    <t>日付</t>
    <rPh sb="0" eb="2">
      <t>ヒヅケ</t>
    </rPh>
    <phoneticPr fontId="2"/>
  </si>
  <si>
    <t>01</t>
    <phoneticPr fontId="2"/>
  </si>
  <si>
    <t>201405-001</t>
    <phoneticPr fontId="2"/>
  </si>
  <si>
    <t>周春建</t>
    <rPh sb="0" eb="1">
      <t>シュウ</t>
    </rPh>
    <rPh sb="1" eb="2">
      <t>シュン</t>
    </rPh>
    <rPh sb="2" eb="3">
      <t>ケン</t>
    </rPh>
    <phoneticPr fontId="2"/>
  </si>
  <si>
    <t>変更履歴</t>
    <rPh sb="0" eb="2">
      <t>ヘンコウ</t>
    </rPh>
    <rPh sb="2" eb="4">
      <t>リレキ</t>
    </rPh>
    <phoneticPr fontId="2"/>
  </si>
  <si>
    <t>変更内容</t>
    <rPh sb="0" eb="2">
      <t>ヘンコウ</t>
    </rPh>
    <rPh sb="2" eb="4">
      <t>ナイヨウ</t>
    </rPh>
    <phoneticPr fontId="2"/>
  </si>
  <si>
    <t>【BEN016L03】CSV出力情報取得シート：以下の内容を追加する。
・オプショナル部の名を取得する
・オプショナルのタイトルを画面の名称も含めて表示する
・生年月日、備考１を追加して、備考を備考２に変換する
・生年月日を「yyyy/mm/nn」フォーマットで表示する
・申込区分の出力内容を名称で表示する</t>
    <rPh sb="24" eb="26">
      <t>イカ</t>
    </rPh>
    <rPh sb="27" eb="29">
      <t>ナイヨウ</t>
    </rPh>
    <rPh sb="30" eb="32">
      <t>ツイカ</t>
    </rPh>
    <phoneticPr fontId="2"/>
  </si>
  <si>
    <t>更新者：
更新日：</t>
    <phoneticPr fontId="2"/>
  </si>
  <si>
    <t>王海軍</t>
    <rPh sb="0" eb="1">
      <t>オウ</t>
    </rPh>
    <rPh sb="1" eb="3">
      <t>カイグン</t>
    </rPh>
    <phoneticPr fontId="2"/>
  </si>
  <si>
    <t>jp.co.isid.mos.bird.entry.nationalviewlist.dao.UINatiEntrySelectInfoDao</t>
    <phoneticPr fontId="2"/>
  </si>
  <si>
    <t xml:space="preserve"> 9-3、年齢再計算する</t>
    <rPh sb="5" eb="7">
      <t>ネンレイ</t>
    </rPh>
    <rPh sb="7" eb="8">
      <t>サイ</t>
    </rPh>
    <rPh sb="8" eb="10">
      <t>ケイサン</t>
    </rPh>
    <phoneticPr fontId="2"/>
  </si>
  <si>
    <t>更新者：周春建
更新日：2014/05/30</t>
    <rPh sb="0" eb="3">
      <t>コウシンシャ</t>
    </rPh>
    <rPh sb="4" eb="5">
      <t>シュウ</t>
    </rPh>
    <rPh sb="5" eb="6">
      <t>シュン</t>
    </rPh>
    <rPh sb="6" eb="7">
      <t>ケン</t>
    </rPh>
    <rPh sb="8" eb="10">
      <t>コウシン</t>
    </rPh>
    <rPh sb="10" eb="11">
      <t>ヒ</t>
    </rPh>
    <phoneticPr fontId="2"/>
  </si>
  <si>
    <t>02</t>
    <phoneticPr fontId="2"/>
  </si>
  <si>
    <t>【BEN016L03】CSV出力情報取得シートに「年齢再計算する」を追加する。</t>
    <rPh sb="25" eb="27">
      <t>ネンレイ</t>
    </rPh>
    <rPh sb="27" eb="28">
      <t>サイ</t>
    </rPh>
    <rPh sb="28" eb="30">
      <t>ケイサン</t>
    </rPh>
    <rPh sb="34" eb="36">
      <t>ツイカ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</si>
</sst>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name val="ＭＳ Ｐゴシック"/>
      <family val="3"/>
      <charset val="128"/>
    </font>
    <font>
      <sz val="11"/>
      <name val="ＭＳ Ｐゴシック"/>
      <family val="3"/>
      <charset val="128"/>
    </font>
    <font>
      <sz val="6"/>
      <name val="ＭＳ Ｐゴシック"/>
      <family val="3"/>
      <charset val="128"/>
    </font>
    <font>
      <sz val="10"/>
      <name val="ＭＳ Ｐゴシック"/>
      <family val="3"/>
      <charset val="128"/>
    </font>
    <font>
      <b/>
      <sz val="9"/>
      <color indexed="81"/>
      <name val="ＭＳ Ｐゴシック"/>
      <family val="3"/>
      <charset val="128"/>
    </font>
    <font>
      <b/>
      <sz val="14"/>
      <name val="ＭＳ Ｐゴシック"/>
      <family val="3"/>
      <charset val="128"/>
    </font>
    <font>
      <sz val="10"/>
      <color indexed="8"/>
      <name val="ＭＳ Ｐゴシック"/>
      <family val="3"/>
      <charset val="128"/>
    </font>
    <font>
      <b/>
      <sz val="10"/>
      <name val="ＭＳ Ｐゴシック"/>
      <family val="3"/>
      <charset val="128"/>
    </font>
    <font>
      <sz val="9"/>
      <color indexed="81"/>
      <name val="ＭＳ Ｐゴシック"/>
      <family val="3"/>
      <charset val="128"/>
    </font>
    <font>
      <b/>
      <sz val="9"/>
      <color indexed="12"/>
      <name val="ＭＳ Ｐゴシック"/>
      <family val="3"/>
      <charset val="128"/>
    </font>
    <font>
      <sz val="9"/>
      <name val="ＭＳ Ｐゴシック"/>
      <family val="3"/>
      <charset val="128"/>
    </font>
    <font>
      <sz val="14"/>
      <name val="ＭＳ Ｐゴシック"/>
      <family val="3"/>
      <charset val="128"/>
    </font>
    <font>
      <sz val="10"/>
      <color indexed="12"/>
      <name val="ＭＳ Ｐゴシック"/>
      <family val="3"/>
      <charset val="128"/>
    </font>
    <font>
      <sz val="10"/>
      <color rgb="FFFF0000"/>
      <name val="ＭＳ Ｐゴシック"/>
      <family val="3"/>
      <charset val="128"/>
    </font>
    <font>
      <b/>
      <sz val="11"/>
      <color theme="0"/>
      <name val="ＭＳ Ｐゴシック"/>
      <family val="3"/>
      <charset val="128"/>
    </font>
    <font>
      <sz val="10"/>
      <color rgb="FF00B050"/>
      <name val="ＭＳ Ｐゴシック"/>
      <family val="3"/>
      <charset val="128"/>
    </font>
  </fonts>
  <fills count="9">
    <fill>
      <patternFill patternType="none"/>
    </fill>
    <fill>
      <patternFill patternType="gray125"/>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theme="4" tint="-0.249977111117893"/>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0" fontId="1" fillId="0" borderId="0">
      <alignment vertical="center"/>
    </xf>
  </cellStyleXfs>
  <cellXfs count="114">
    <xf numFmtId="0" fontId="0" fillId="0" borderId="0" xfId="0"/>
    <xf numFmtId="0" fontId="3" fillId="0" borderId="0" xfId="0" applyFont="1"/>
    <xf numFmtId="0" fontId="5" fillId="0" borderId="0" xfId="0" applyFont="1"/>
    <xf numFmtId="0" fontId="3" fillId="0" borderId="1" xfId="0" applyFont="1" applyBorder="1"/>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3" fillId="0" borderId="0"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0" fontId="3" fillId="0" borderId="13" xfId="0" applyFont="1" applyBorder="1"/>
    <xf numFmtId="0" fontId="3" fillId="2" borderId="1" xfId="0" applyFont="1" applyFill="1" applyBorder="1"/>
    <xf numFmtId="0" fontId="3" fillId="2" borderId="2" xfId="0" applyFont="1" applyFill="1" applyBorder="1"/>
    <xf numFmtId="0" fontId="3" fillId="2" borderId="6" xfId="0" applyFont="1" applyFill="1" applyBorder="1"/>
    <xf numFmtId="0" fontId="3" fillId="2" borderId="3" xfId="0" applyFont="1" applyFill="1" applyBorder="1"/>
    <xf numFmtId="0" fontId="3" fillId="3" borderId="1" xfId="0" applyFont="1" applyFill="1" applyBorder="1"/>
    <xf numFmtId="0" fontId="3" fillId="3" borderId="2" xfId="0" applyFont="1" applyFill="1" applyBorder="1"/>
    <xf numFmtId="0" fontId="3" fillId="3" borderId="6" xfId="0" applyFont="1" applyFill="1" applyBorder="1"/>
    <xf numFmtId="0" fontId="3" fillId="3" borderId="3" xfId="0" applyFont="1" applyFill="1" applyBorder="1"/>
    <xf numFmtId="0" fontId="3" fillId="4" borderId="4" xfId="0" applyFont="1" applyFill="1" applyBorder="1"/>
    <xf numFmtId="0" fontId="3" fillId="4" borderId="1" xfId="0" applyFont="1" applyFill="1" applyBorder="1"/>
    <xf numFmtId="0" fontId="3" fillId="4" borderId="2" xfId="0" applyFont="1" applyFill="1" applyBorder="1"/>
    <xf numFmtId="0" fontId="3" fillId="4" borderId="3" xfId="0" applyFont="1" applyFill="1" applyBorder="1"/>
    <xf numFmtId="0" fontId="3" fillId="5" borderId="5" xfId="0" applyFont="1" applyFill="1" applyBorder="1"/>
    <xf numFmtId="0" fontId="3" fillId="5" borderId="6" xfId="0" applyFont="1" applyFill="1" applyBorder="1"/>
    <xf numFmtId="0" fontId="3" fillId="5" borderId="7" xfId="0" applyFont="1" applyFill="1" applyBorder="1"/>
    <xf numFmtId="0" fontId="3" fillId="3" borderId="5" xfId="0" applyFont="1" applyFill="1" applyBorder="1"/>
    <xf numFmtId="0" fontId="3" fillId="3" borderId="7" xfId="0" applyFont="1" applyFill="1" applyBorder="1"/>
    <xf numFmtId="0" fontId="3" fillId="5" borderId="1" xfId="0" applyFont="1" applyFill="1" applyBorder="1"/>
    <xf numFmtId="0" fontId="3" fillId="5" borderId="2" xfId="0" applyFont="1" applyFill="1" applyBorder="1"/>
    <xf numFmtId="0" fontId="3" fillId="5" borderId="3" xfId="0" applyFont="1" applyFill="1" applyBorder="1"/>
    <xf numFmtId="0" fontId="6" fillId="6" borderId="4" xfId="0" applyFont="1" applyFill="1" applyBorder="1"/>
    <xf numFmtId="0" fontId="6" fillId="6" borderId="4" xfId="0" applyFont="1" applyFill="1" applyBorder="1" applyAlignment="1">
      <alignment vertical="top"/>
    </xf>
    <xf numFmtId="0" fontId="3" fillId="4" borderId="5" xfId="0" applyFont="1" applyFill="1" applyBorder="1"/>
    <xf numFmtId="0" fontId="3" fillId="4" borderId="6" xfId="0" applyFont="1" applyFill="1" applyBorder="1"/>
    <xf numFmtId="0" fontId="3" fillId="4" borderId="7" xfId="0" applyFont="1" applyFill="1" applyBorder="1"/>
    <xf numFmtId="0" fontId="3" fillId="2" borderId="7" xfId="0" applyFont="1" applyFill="1" applyBorder="1"/>
    <xf numFmtId="0" fontId="3" fillId="0" borderId="4" xfId="0" applyFont="1" applyBorder="1" applyAlignment="1">
      <alignment vertical="top" wrapText="1"/>
    </xf>
    <xf numFmtId="0" fontId="3" fillId="0" borderId="1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5" borderId="4" xfId="0" applyFont="1" applyFill="1" applyBorder="1"/>
    <xf numFmtId="0" fontId="3" fillId="6" borderId="4" xfId="0" applyFont="1" applyFill="1" applyBorder="1"/>
    <xf numFmtId="176" fontId="3" fillId="4" borderId="4" xfId="0" applyNumberFormat="1" applyFont="1" applyFill="1" applyBorder="1"/>
    <xf numFmtId="176" fontId="3" fillId="0" borderId="4" xfId="0" applyNumberFormat="1" applyFont="1" applyBorder="1" applyAlignment="1">
      <alignment vertical="top" wrapText="1"/>
    </xf>
    <xf numFmtId="176" fontId="3" fillId="0" borderId="0" xfId="0" applyNumberFormat="1" applyFont="1"/>
    <xf numFmtId="0" fontId="3" fillId="0" borderId="4" xfId="0" applyFont="1" applyBorder="1" applyAlignment="1">
      <alignment horizontal="center" vertical="top" wrapText="1"/>
    </xf>
    <xf numFmtId="0" fontId="3" fillId="0" borderId="0" xfId="0" applyFont="1" applyAlignment="1">
      <alignment horizontal="center"/>
    </xf>
    <xf numFmtId="0" fontId="3" fillId="4" borderId="4" xfId="0" applyFont="1" applyFill="1" applyBorder="1" applyAlignment="1"/>
    <xf numFmtId="0" fontId="7" fillId="6" borderId="4" xfId="0" applyFont="1" applyFill="1" applyBorder="1"/>
    <xf numFmtId="0" fontId="3" fillId="7" borderId="4" xfId="0" applyFont="1" applyFill="1" applyBorder="1"/>
    <xf numFmtId="0" fontId="3" fillId="0" borderId="4" xfId="0" applyFont="1" applyBorder="1" applyAlignment="1">
      <alignment horizontal="right" vertical="top"/>
    </xf>
    <xf numFmtId="0" fontId="3" fillId="0" borderId="0" xfId="0" applyFont="1" applyAlignment="1">
      <alignment horizontal="right"/>
    </xf>
    <xf numFmtId="0" fontId="3" fillId="0" borderId="2" xfId="0" applyFont="1" applyFill="1" applyBorder="1"/>
    <xf numFmtId="0" fontId="3" fillId="0" borderId="1" xfId="0" applyFont="1" applyFill="1" applyBorder="1"/>
    <xf numFmtId="0" fontId="3" fillId="0" borderId="14" xfId="0" applyFont="1" applyBorder="1"/>
    <xf numFmtId="0" fontId="3" fillId="0" borderId="15" xfId="0" applyFont="1" applyBorder="1"/>
    <xf numFmtId="0" fontId="10" fillId="0" borderId="15" xfId="0" applyFont="1" applyBorder="1" applyAlignment="1">
      <alignment wrapText="1"/>
    </xf>
    <xf numFmtId="0" fontId="11" fillId="0" borderId="15" xfId="0" applyFont="1" applyBorder="1"/>
    <xf numFmtId="0" fontId="3" fillId="5" borderId="0" xfId="0" applyFont="1" applyFill="1" applyBorder="1"/>
    <xf numFmtId="0" fontId="3" fillId="5" borderId="12" xfId="0" applyFont="1" applyFill="1" applyBorder="1"/>
    <xf numFmtId="0" fontId="3" fillId="5" borderId="8" xfId="0" applyFont="1" applyFill="1" applyBorder="1"/>
    <xf numFmtId="0" fontId="3" fillId="5" borderId="9" xfId="0" applyFont="1" applyFill="1" applyBorder="1"/>
    <xf numFmtId="0" fontId="3" fillId="0" borderId="4" xfId="0" applyFont="1" applyBorder="1" applyAlignment="1">
      <alignment vertical="top"/>
    </xf>
    <xf numFmtId="0" fontId="6" fillId="0" borderId="0" xfId="0" applyFont="1" applyBorder="1"/>
    <xf numFmtId="0" fontId="10" fillId="0" borderId="1" xfId="0" applyFont="1" applyFill="1" applyBorder="1" applyAlignment="1"/>
    <xf numFmtId="0" fontId="3" fillId="0" borderId="1" xfId="0" applyFont="1" applyFill="1" applyBorder="1" applyAlignment="1">
      <alignment vertical="center"/>
    </xf>
    <xf numFmtId="0" fontId="3" fillId="0" borderId="10" xfId="0" applyFont="1" applyBorder="1" applyAlignment="1">
      <alignment vertical="center"/>
    </xf>
    <xf numFmtId="0" fontId="3" fillId="0" borderId="10" xfId="0" applyFont="1" applyFill="1" applyBorder="1" applyAlignment="1">
      <alignment vertical="center"/>
    </xf>
    <xf numFmtId="0" fontId="12" fillId="0" borderId="0" xfId="0" applyFont="1" applyBorder="1"/>
    <xf numFmtId="0" fontId="6" fillId="0" borderId="0" xfId="0" applyFont="1" applyFill="1" applyBorder="1"/>
    <xf numFmtId="0" fontId="7" fillId="0" borderId="0" xfId="0" applyFont="1" applyBorder="1"/>
    <xf numFmtId="0" fontId="12" fillId="0" borderId="8" xfId="0" applyFont="1" applyBorder="1"/>
    <xf numFmtId="0" fontId="12" fillId="0" borderId="10" xfId="0" applyFont="1" applyBorder="1"/>
    <xf numFmtId="0" fontId="12" fillId="0" borderId="11" xfId="0" applyFont="1" applyBorder="1"/>
    <xf numFmtId="0" fontId="3" fillId="0" borderId="8" xfId="0" applyFont="1" applyBorder="1" applyAlignment="1">
      <alignment horizontal="right"/>
    </xf>
    <xf numFmtId="0" fontId="3" fillId="0" borderId="8" xfId="0" applyFont="1" applyBorder="1" applyAlignment="1"/>
    <xf numFmtId="0" fontId="3" fillId="6" borderId="4" xfId="0" applyFont="1" applyFill="1" applyBorder="1" applyAlignment="1">
      <alignment vertical="center"/>
    </xf>
    <xf numFmtId="0" fontId="3" fillId="0" borderId="1" xfId="0" applyFont="1" applyFill="1" applyBorder="1" applyAlignment="1"/>
    <xf numFmtId="0" fontId="3" fillId="0" borderId="13" xfId="0" applyFont="1" applyFill="1" applyBorder="1" applyAlignment="1">
      <alignment vertical="center"/>
    </xf>
    <xf numFmtId="0" fontId="3" fillId="0" borderId="5" xfId="0" applyFont="1" applyBorder="1" applyAlignment="1"/>
    <xf numFmtId="0" fontId="6" fillId="0" borderId="8" xfId="0" applyFont="1" applyBorder="1" applyAlignment="1"/>
    <xf numFmtId="0" fontId="13" fillId="0" borderId="13" xfId="0" applyFont="1" applyBorder="1"/>
    <xf numFmtId="0" fontId="13" fillId="0" borderId="4" xfId="0" applyFont="1" applyBorder="1" applyAlignment="1">
      <alignment horizontal="center"/>
    </xf>
    <xf numFmtId="0" fontId="13" fillId="0" borderId="1" xfId="0" applyFont="1" applyBorder="1"/>
    <xf numFmtId="0" fontId="13" fillId="0" borderId="2" xfId="0" applyFont="1" applyBorder="1"/>
    <xf numFmtId="0" fontId="13" fillId="0" borderId="3" xfId="0" applyFont="1" applyBorder="1"/>
    <xf numFmtId="0" fontId="13" fillId="0" borderId="8" xfId="0" applyFont="1" applyBorder="1"/>
    <xf numFmtId="56" fontId="13" fillId="0" borderId="8" xfId="0" applyNumberFormat="1" applyFont="1" applyBorder="1"/>
    <xf numFmtId="0" fontId="1" fillId="0" borderId="0" xfId="1">
      <alignment vertical="center"/>
    </xf>
    <xf numFmtId="0" fontId="5" fillId="0" borderId="0" xfId="1" applyFont="1">
      <alignment vertical="center"/>
    </xf>
    <xf numFmtId="0" fontId="14" fillId="8" borderId="4" xfId="1" applyFont="1" applyFill="1" applyBorder="1" applyAlignment="1">
      <alignment horizontal="center" vertical="center"/>
    </xf>
    <xf numFmtId="0" fontId="0" fillId="0" borderId="4" xfId="1" quotePrefix="1" applyFont="1" applyBorder="1">
      <alignment vertical="center"/>
    </xf>
    <xf numFmtId="0" fontId="0" fillId="0" borderId="4" xfId="1" applyFont="1" applyBorder="1">
      <alignment vertical="center"/>
    </xf>
    <xf numFmtId="14" fontId="1" fillId="0" borderId="4" xfId="1" applyNumberFormat="1" applyBorder="1">
      <alignment vertical="center"/>
    </xf>
    <xf numFmtId="0" fontId="1" fillId="0" borderId="4" xfId="1" applyBorder="1">
      <alignment vertical="center"/>
    </xf>
    <xf numFmtId="56" fontId="15" fillId="0" borderId="8" xfId="0" applyNumberFormat="1" applyFont="1" applyBorder="1"/>
    <xf numFmtId="0" fontId="14" fillId="8" borderId="4" xfId="1" applyFont="1" applyFill="1" applyBorder="1" applyAlignment="1">
      <alignment horizontal="center" vertical="center"/>
    </xf>
    <xf numFmtId="0" fontId="14" fillId="8" borderId="4" xfId="1" applyFont="1" applyFill="1" applyBorder="1" applyAlignment="1">
      <alignment vertical="center"/>
    </xf>
    <xf numFmtId="0" fontId="1" fillId="0" borderId="4" xfId="1" applyBorder="1" applyAlignment="1">
      <alignment vertical="center"/>
    </xf>
    <xf numFmtId="0" fontId="0" fillId="0" borderId="4" xfId="1" applyFont="1" applyBorder="1" applyAlignment="1">
      <alignment vertical="center" wrapText="1"/>
    </xf>
    <xf numFmtId="0" fontId="0" fillId="0" borderId="4" xfId="1" applyFont="1" applyBorder="1" applyAlignment="1">
      <alignment vertical="center"/>
    </xf>
    <xf numFmtId="0" fontId="10" fillId="0" borderId="15" xfId="0" applyFont="1" applyBorder="1" applyAlignment="1">
      <alignment horizontal="left" vertical="center" wrapText="1"/>
    </xf>
    <xf numFmtId="0" fontId="10" fillId="0" borderId="15" xfId="0" applyFont="1" applyBorder="1" applyAlignment="1">
      <alignment horizontal="left" wrapText="1"/>
    </xf>
    <xf numFmtId="0" fontId="3" fillId="0" borderId="1"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10" fillId="0" borderId="15" xfId="0" applyFont="1" applyBorder="1" applyAlignment="1">
      <alignment horizontal="left" vertical="top" wrapText="1"/>
    </xf>
  </cellXfs>
  <cellStyles count="2">
    <cellStyle name="標準" xfId="0" builtinId="0"/>
    <cellStyle name="標準 4" xfId="1" xr:uid="{E408A3D3-E4DC-4CCE-AF2A-F848ECD86B0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2.wmf"/></Relationships>
</file>

<file path=xl/drawings/_rels/drawing3.xml.rels><?xml version="1.0" encoding="UTF-8" standalone="yes"?>
<Relationships xmlns="http://schemas.openxmlformats.org/package/2006/relationships"><Relationship Id="rId2" Type="http://schemas.openxmlformats.org/officeDocument/2006/relationships/image" Target="http://www.isid.co.jp/images/logo/0001.gif" TargetMode="External"/><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http://www.isid.co.jp/images/logo/0001.gif" TargetMode="External"/><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http://www.isid.co.jp/images/logo/0001.gif" TargetMode="External"/><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http://www.isid.co.jp/images/logo/0001.gif" TargetMode="External"/><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http://www.isid.co.jp/images/logo/0001.gif" TargetMode="External"/><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355600</xdr:colOff>
      <xdr:row>1</xdr:row>
      <xdr:rowOff>88900</xdr:rowOff>
    </xdr:from>
    <xdr:to>
      <xdr:col>0</xdr:col>
      <xdr:colOff>1079500</xdr:colOff>
      <xdr:row>2</xdr:row>
      <xdr:rowOff>279400</xdr:rowOff>
    </xdr:to>
    <xdr:pic macro="[0]!ThisWorkbook.CreateLogicList">
      <xdr:nvPicPr>
        <xdr:cNvPr id="7252" name="Picture 2" descr="BS00975_">
          <a:extLst>
            <a:ext uri="{FF2B5EF4-FFF2-40B4-BE49-F238E27FC236}">
              <a16:creationId xmlns:a16="http://schemas.microsoft.com/office/drawing/2014/main" id="{61E560B3-962D-F4B0-249A-4808B9F7AD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5600" y="241300"/>
          <a:ext cx="7239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107950</xdr:colOff>
      <xdr:row>6</xdr:row>
      <xdr:rowOff>28575</xdr:rowOff>
    </xdr:from>
    <xdr:to>
      <xdr:col>0</xdr:col>
      <xdr:colOff>1447800</xdr:colOff>
      <xdr:row>10</xdr:row>
      <xdr:rowOff>95250</xdr:rowOff>
    </xdr:to>
    <xdr:sp macro="" textlink="">
      <xdr:nvSpPr>
        <xdr:cNvPr id="7171" name="AutoShape 3">
          <a:extLst>
            <a:ext uri="{FF2B5EF4-FFF2-40B4-BE49-F238E27FC236}">
              <a16:creationId xmlns:a16="http://schemas.microsoft.com/office/drawing/2014/main" id="{11C6F12A-E03C-7C87-C373-7E8212AA4FFA}"/>
            </a:ext>
          </a:extLst>
        </xdr:cNvPr>
        <xdr:cNvSpPr>
          <a:spLocks noChangeArrowheads="1"/>
        </xdr:cNvSpPr>
      </xdr:nvSpPr>
      <xdr:spPr bwMode="auto">
        <a:xfrm>
          <a:off x="114300" y="1704975"/>
          <a:ext cx="1466850" cy="1447800"/>
        </a:xfrm>
        <a:prstGeom prst="wedgeRoundRectCallout">
          <a:avLst>
            <a:gd name="adj1" fmla="val -7792"/>
            <a:gd name="adj2" fmla="val -78171"/>
            <a:gd name="adj3" fmla="val 16667"/>
          </a:avLst>
        </a:prstGeom>
        <a:solidFill>
          <a:srgbClr val="FFFF99"/>
        </a:solidFill>
        <a:ln w="9525">
          <a:solidFill>
            <a:srgbClr val="000000"/>
          </a:solidFill>
          <a:miter lim="800000"/>
          <a:headEnd/>
          <a:tailEnd/>
        </a:ln>
      </xdr:spPr>
      <xdr:txBody>
        <a:bodyPr vertOverflow="clip" wrap="square" lIns="27432" tIns="18288" rIns="0" bIns="0" anchor="t" upright="1"/>
        <a:lstStyle/>
        <a:p>
          <a:pPr algn="l" rtl="0">
            <a:lnSpc>
              <a:spcPts val="1100"/>
            </a:lnSpc>
            <a:defRPr sz="1000"/>
          </a:pPr>
          <a:r>
            <a:rPr lang="ja-JP" altLang="en-US" sz="1000" b="0" i="0" u="none" strike="noStrike" baseline="0">
              <a:solidFill>
                <a:srgbClr val="000000"/>
              </a:solidFill>
              <a:latin typeface="ＭＳ Ｐゴシック"/>
              <a:ea typeface="ＭＳ Ｐゴシック"/>
            </a:rPr>
            <a:t>このアイコンを押すと、このブック内のシートを検索して業務ロジック一覧を最新表示します。</a:t>
          </a:r>
        </a:p>
      </xdr:txBody>
    </xdr:sp>
    <xdr:clientData/>
  </xdr:twoCellAnchor>
  <xdr:twoCellAnchor>
    <xdr:from>
      <xdr:col>0</xdr:col>
      <xdr:colOff>107950</xdr:colOff>
      <xdr:row>11</xdr:row>
      <xdr:rowOff>66675</xdr:rowOff>
    </xdr:from>
    <xdr:to>
      <xdr:col>0</xdr:col>
      <xdr:colOff>1387748</xdr:colOff>
      <xdr:row>19</xdr:row>
      <xdr:rowOff>47625</xdr:rowOff>
    </xdr:to>
    <xdr:sp macro="" textlink="">
      <xdr:nvSpPr>
        <xdr:cNvPr id="7172" name="AutoShape 4">
          <a:extLst>
            <a:ext uri="{FF2B5EF4-FFF2-40B4-BE49-F238E27FC236}">
              <a16:creationId xmlns:a16="http://schemas.microsoft.com/office/drawing/2014/main" id="{9B145310-E509-1061-6956-9A7F2183580D}"/>
            </a:ext>
          </a:extLst>
        </xdr:cNvPr>
        <xdr:cNvSpPr>
          <a:spLocks noChangeArrowheads="1"/>
        </xdr:cNvSpPr>
      </xdr:nvSpPr>
      <xdr:spPr bwMode="auto">
        <a:xfrm>
          <a:off x="114300" y="3429000"/>
          <a:ext cx="1400175" cy="1200150"/>
        </a:xfrm>
        <a:prstGeom prst="roundRect">
          <a:avLst>
            <a:gd name="adj" fmla="val 16667"/>
          </a:avLst>
        </a:prstGeom>
        <a:solidFill>
          <a:srgbClr val="FFCC99"/>
        </a:solidFill>
        <a:ln w="9525">
          <a:solidFill>
            <a:srgbClr val="000000"/>
          </a:solidFill>
          <a:round/>
          <a:headEnd/>
          <a:tailEnd/>
        </a:ln>
      </xdr:spPr>
      <xdr:txBody>
        <a:bodyPr vertOverflow="clip" wrap="square" lIns="27432" tIns="18288" rIns="0" bIns="0" anchor="t" upright="1"/>
        <a:lstStyle/>
        <a:p>
          <a:pPr algn="l" rtl="0">
            <a:lnSpc>
              <a:spcPts val="1100"/>
            </a:lnSpc>
            <a:defRPr sz="1000"/>
          </a:pPr>
          <a:r>
            <a:rPr lang="ja-JP" altLang="en-US" sz="1000" b="0" i="0" u="none" strike="noStrike" baseline="0">
              <a:solidFill>
                <a:srgbClr val="000000"/>
              </a:solidFill>
              <a:latin typeface="ＭＳ Ｐゴシック"/>
              <a:ea typeface="ＭＳ Ｐゴシック"/>
            </a:rPr>
            <a:t>以下のシートの名前は変更しないでください。</a:t>
          </a:r>
        </a:p>
        <a:p>
          <a:pPr algn="l" rtl="0">
            <a:lnSpc>
              <a:spcPts val="1000"/>
            </a:lnSpc>
            <a:defRPr sz="1000"/>
          </a:pPr>
          <a:endParaRPr lang="ja-JP" altLang="en-US" sz="1000" b="0" i="0" u="none" strike="noStrike" baseline="0">
            <a:solidFill>
              <a:srgbClr val="000000"/>
            </a:solidFill>
            <a:latin typeface="ＭＳ Ｐゴシック"/>
            <a:ea typeface="ＭＳ Ｐゴシック"/>
          </a:endParaRPr>
        </a:p>
        <a:p>
          <a:pPr algn="l" rtl="0">
            <a:lnSpc>
              <a:spcPts val="1000"/>
            </a:lnSpc>
            <a:defRPr sz="1000"/>
          </a:pPr>
          <a:r>
            <a:rPr lang="ja-JP" altLang="en-US" sz="1000" b="0" i="0" u="none" strike="noStrike" baseline="0">
              <a:solidFill>
                <a:srgbClr val="000000"/>
              </a:solidFill>
              <a:latin typeface="ＭＳ Ｐゴシック"/>
              <a:ea typeface="ＭＳ Ｐゴシック"/>
            </a:rPr>
            <a:t>”業務ロジック一覧”</a:t>
          </a:r>
        </a:p>
        <a:p>
          <a:pPr algn="l" rtl="0">
            <a:lnSpc>
              <a:spcPts val="1100"/>
            </a:lnSpc>
            <a:defRPr sz="1000"/>
          </a:pPr>
          <a:r>
            <a:rPr lang="ja-JP" altLang="en-US" sz="1000" b="0" i="0" u="none" strike="noStrike" baseline="0">
              <a:solidFill>
                <a:srgbClr val="000000"/>
              </a:solidFill>
              <a:latin typeface="ＭＳ Ｐゴシック"/>
              <a:ea typeface="ＭＳ Ｐゴシック"/>
            </a:rPr>
            <a:t>”テンプレート”</a:t>
          </a:r>
        </a:p>
        <a:p>
          <a:pPr algn="l" rtl="0">
            <a:lnSpc>
              <a:spcPts val="1000"/>
            </a:lnSpc>
            <a:defRPr sz="1000"/>
          </a:pPr>
          <a:r>
            <a:rPr lang="ja-JP" altLang="en-US" sz="1000" b="0" i="0" u="none" strike="noStrike" baseline="0">
              <a:solidFill>
                <a:srgbClr val="000000"/>
              </a:solidFill>
              <a:latin typeface="ＭＳ Ｐゴシック"/>
              <a:ea typeface="ＭＳ Ｐゴシック"/>
            </a:rPr>
            <a:t>”記述例”</a:t>
          </a:r>
        </a:p>
        <a:p>
          <a:pPr algn="l" rtl="0">
            <a:lnSpc>
              <a:spcPts val="1000"/>
            </a:lnSpc>
            <a:defRPr sz="1000"/>
          </a:pPr>
          <a:r>
            <a:rPr lang="ja-JP" altLang="en-US" sz="1000" b="0" i="0" u="none" strike="noStrike" baseline="0">
              <a:solidFill>
                <a:srgbClr val="000000"/>
              </a:solidFill>
              <a:latin typeface="ＭＳ Ｐゴシック"/>
              <a:ea typeface="ＭＳ Ｐゴシック"/>
            </a:rPr>
            <a:t>”検索”</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8</xdr:row>
      <xdr:rowOff>57150</xdr:rowOff>
    </xdr:from>
    <xdr:to>
      <xdr:col>0</xdr:col>
      <xdr:colOff>1327150</xdr:colOff>
      <xdr:row>14</xdr:row>
      <xdr:rowOff>114300</xdr:rowOff>
    </xdr:to>
    <xdr:sp macro="" textlink="">
      <xdr:nvSpPr>
        <xdr:cNvPr id="20481" name="AutoShape 1">
          <a:extLst>
            <a:ext uri="{FF2B5EF4-FFF2-40B4-BE49-F238E27FC236}">
              <a16:creationId xmlns:a16="http://schemas.microsoft.com/office/drawing/2014/main" id="{0EF63CE2-E20F-AE58-C615-A388C4D897C0}"/>
            </a:ext>
          </a:extLst>
        </xdr:cNvPr>
        <xdr:cNvSpPr>
          <a:spLocks noChangeArrowheads="1"/>
        </xdr:cNvSpPr>
      </xdr:nvSpPr>
      <xdr:spPr bwMode="auto">
        <a:xfrm>
          <a:off x="19050" y="1276350"/>
          <a:ext cx="1428750" cy="971550"/>
        </a:xfrm>
        <a:prstGeom prst="wedgeRoundRectCallout">
          <a:avLst>
            <a:gd name="adj1" fmla="val 18000"/>
            <a:gd name="adj2" fmla="val -75491"/>
            <a:gd name="adj3" fmla="val 16667"/>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このアイコンを押すと、このブック内のシートから特定の文字列を含む業務ロジックを検索して一覧表示します。</a:t>
          </a:r>
        </a:p>
      </xdr:txBody>
    </xdr:sp>
    <xdr:clientData/>
  </xdr:twoCellAnchor>
  <xdr:twoCellAnchor>
    <xdr:from>
      <xdr:col>0</xdr:col>
      <xdr:colOff>69850</xdr:colOff>
      <xdr:row>15</xdr:row>
      <xdr:rowOff>142875</xdr:rowOff>
    </xdr:from>
    <xdr:to>
      <xdr:col>0</xdr:col>
      <xdr:colOff>1349525</xdr:colOff>
      <xdr:row>23</xdr:row>
      <xdr:rowOff>123825</xdr:rowOff>
    </xdr:to>
    <xdr:sp macro="" textlink="">
      <xdr:nvSpPr>
        <xdr:cNvPr id="20482" name="AutoShape 2">
          <a:extLst>
            <a:ext uri="{FF2B5EF4-FFF2-40B4-BE49-F238E27FC236}">
              <a16:creationId xmlns:a16="http://schemas.microsoft.com/office/drawing/2014/main" id="{E9EE9964-EB9C-8AA4-3A33-4AE8B9A8E053}"/>
            </a:ext>
          </a:extLst>
        </xdr:cNvPr>
        <xdr:cNvSpPr>
          <a:spLocks noChangeArrowheads="1"/>
        </xdr:cNvSpPr>
      </xdr:nvSpPr>
      <xdr:spPr bwMode="auto">
        <a:xfrm>
          <a:off x="76200" y="2428875"/>
          <a:ext cx="1400175" cy="1200150"/>
        </a:xfrm>
        <a:prstGeom prst="roundRect">
          <a:avLst>
            <a:gd name="adj" fmla="val 16667"/>
          </a:avLst>
        </a:prstGeom>
        <a:solidFill>
          <a:srgbClr val="FFCC99"/>
        </a:solidFill>
        <a:ln w="9525">
          <a:solidFill>
            <a:srgbClr val="000000"/>
          </a:solidFill>
          <a:round/>
          <a:headEnd/>
          <a:tailEnd/>
        </a:ln>
      </xdr:spPr>
      <xdr:txBody>
        <a:bodyPr vertOverflow="clip" wrap="square" lIns="27432" tIns="18288" rIns="0" bIns="0" anchor="t" upright="1"/>
        <a:lstStyle/>
        <a:p>
          <a:pPr algn="l" rtl="0">
            <a:lnSpc>
              <a:spcPts val="1100"/>
            </a:lnSpc>
            <a:defRPr sz="1000"/>
          </a:pPr>
          <a:r>
            <a:rPr lang="ja-JP" altLang="en-US" sz="1000" b="0" i="0" u="none" strike="noStrike" baseline="0">
              <a:solidFill>
                <a:srgbClr val="000000"/>
              </a:solidFill>
              <a:latin typeface="ＭＳ Ｐゴシック"/>
              <a:ea typeface="ＭＳ Ｐゴシック"/>
            </a:rPr>
            <a:t>以下のシートの名前は変更しないでください。</a:t>
          </a:r>
        </a:p>
        <a:p>
          <a:pPr algn="l" rtl="0">
            <a:lnSpc>
              <a:spcPts val="1000"/>
            </a:lnSpc>
            <a:defRPr sz="1000"/>
          </a:pPr>
          <a:endParaRPr lang="ja-JP" altLang="en-US" sz="1000" b="0" i="0" u="none" strike="noStrike" baseline="0">
            <a:solidFill>
              <a:srgbClr val="000000"/>
            </a:solidFill>
            <a:latin typeface="ＭＳ Ｐゴシック"/>
            <a:ea typeface="ＭＳ Ｐゴシック"/>
          </a:endParaRPr>
        </a:p>
        <a:p>
          <a:pPr algn="l" rtl="0">
            <a:lnSpc>
              <a:spcPts val="1000"/>
            </a:lnSpc>
            <a:defRPr sz="1000"/>
          </a:pPr>
          <a:r>
            <a:rPr lang="ja-JP" altLang="en-US" sz="1000" b="0" i="0" u="none" strike="noStrike" baseline="0">
              <a:solidFill>
                <a:srgbClr val="000000"/>
              </a:solidFill>
              <a:latin typeface="ＭＳ Ｐゴシック"/>
              <a:ea typeface="ＭＳ Ｐゴシック"/>
            </a:rPr>
            <a:t>”業務ロジック一覧”</a:t>
          </a:r>
        </a:p>
        <a:p>
          <a:pPr algn="l" rtl="0">
            <a:lnSpc>
              <a:spcPts val="1100"/>
            </a:lnSpc>
            <a:defRPr sz="1000"/>
          </a:pPr>
          <a:r>
            <a:rPr lang="ja-JP" altLang="en-US" sz="1000" b="0" i="0" u="none" strike="noStrike" baseline="0">
              <a:solidFill>
                <a:srgbClr val="000000"/>
              </a:solidFill>
              <a:latin typeface="ＭＳ Ｐゴシック"/>
              <a:ea typeface="ＭＳ Ｐゴシック"/>
            </a:rPr>
            <a:t>”テンプレート”</a:t>
          </a:r>
        </a:p>
        <a:p>
          <a:pPr algn="l" rtl="0">
            <a:lnSpc>
              <a:spcPts val="1000"/>
            </a:lnSpc>
            <a:defRPr sz="1000"/>
          </a:pPr>
          <a:r>
            <a:rPr lang="ja-JP" altLang="en-US" sz="1000" b="0" i="0" u="none" strike="noStrike" baseline="0">
              <a:solidFill>
                <a:srgbClr val="000000"/>
              </a:solidFill>
              <a:latin typeface="ＭＳ Ｐゴシック"/>
              <a:ea typeface="ＭＳ Ｐゴシック"/>
            </a:rPr>
            <a:t>”記述例”</a:t>
          </a:r>
        </a:p>
        <a:p>
          <a:pPr algn="l" rtl="0">
            <a:lnSpc>
              <a:spcPts val="1000"/>
            </a:lnSpc>
            <a:defRPr sz="1000"/>
          </a:pPr>
          <a:r>
            <a:rPr lang="ja-JP" altLang="en-US" sz="1000" b="0" i="0" u="none" strike="noStrike" baseline="0">
              <a:solidFill>
                <a:srgbClr val="000000"/>
              </a:solidFill>
              <a:latin typeface="ＭＳ Ｐゴシック"/>
              <a:ea typeface="ＭＳ Ｐゴシック"/>
            </a:rPr>
            <a:t>”検索”</a:t>
          </a:r>
        </a:p>
      </xdr:txBody>
    </xdr:sp>
    <xdr:clientData/>
  </xdr:twoCellAnchor>
  <xdr:twoCellAnchor editAs="oneCell">
    <xdr:from>
      <xdr:col>0</xdr:col>
      <xdr:colOff>400050</xdr:colOff>
      <xdr:row>2</xdr:row>
      <xdr:rowOff>114300</xdr:rowOff>
    </xdr:from>
    <xdr:to>
      <xdr:col>0</xdr:col>
      <xdr:colOff>1066800</xdr:colOff>
      <xdr:row>5</xdr:row>
      <xdr:rowOff>146050</xdr:rowOff>
    </xdr:to>
    <xdr:pic macro="[0]!ThisWorkbook.SerchSheet">
      <xdr:nvPicPr>
        <xdr:cNvPr id="20565" name="Picture 4" descr="BS00554_">
          <a:extLst>
            <a:ext uri="{FF2B5EF4-FFF2-40B4-BE49-F238E27FC236}">
              <a16:creationId xmlns:a16="http://schemas.microsoft.com/office/drawing/2014/main" id="{586D9FD7-CED5-5019-8831-22CC281941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0050" y="419100"/>
          <a:ext cx="666750"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349250</xdr:colOff>
      <xdr:row>21</xdr:row>
      <xdr:rowOff>104775</xdr:rowOff>
    </xdr:from>
    <xdr:to>
      <xdr:col>11</xdr:col>
      <xdr:colOff>231759</xdr:colOff>
      <xdr:row>28</xdr:row>
      <xdr:rowOff>66675</xdr:rowOff>
    </xdr:to>
    <xdr:sp macro="" textlink="">
      <xdr:nvSpPr>
        <xdr:cNvPr id="1043" name="AutoShape 19">
          <a:extLst>
            <a:ext uri="{FF2B5EF4-FFF2-40B4-BE49-F238E27FC236}">
              <a16:creationId xmlns:a16="http://schemas.microsoft.com/office/drawing/2014/main" id="{2B7E2DF7-954C-CF66-EC53-A440C8CDE746}"/>
            </a:ext>
          </a:extLst>
        </xdr:cNvPr>
        <xdr:cNvSpPr>
          <a:spLocks noChangeArrowheads="1"/>
        </xdr:cNvSpPr>
      </xdr:nvSpPr>
      <xdr:spPr bwMode="auto">
        <a:xfrm>
          <a:off x="7239000" y="3819525"/>
          <a:ext cx="1343025" cy="1028700"/>
        </a:xfrm>
        <a:prstGeom prst="roundRect">
          <a:avLst>
            <a:gd name="adj" fmla="val 16667"/>
          </a:avLst>
        </a:prstGeom>
        <a:solidFill>
          <a:srgbClr val="FFCC99"/>
        </a:solidFill>
        <a:ln w="9525">
          <a:solidFill>
            <a:srgbClr val="000000"/>
          </a:solidFill>
          <a:round/>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このシートを直接編集せず、必ずシートをコピーしてお使いください。</a:t>
          </a:r>
        </a:p>
      </xdr:txBody>
    </xdr:sp>
    <xdr:clientData/>
  </xdr:twoCellAnchor>
  <xdr:twoCellAnchor>
    <xdr:from>
      <xdr:col>8</xdr:col>
      <xdr:colOff>371475</xdr:colOff>
      <xdr:row>12</xdr:row>
      <xdr:rowOff>114300</xdr:rowOff>
    </xdr:from>
    <xdr:to>
      <xdr:col>11</xdr:col>
      <xdr:colOff>260383</xdr:colOff>
      <xdr:row>20</xdr:row>
      <xdr:rowOff>19050</xdr:rowOff>
    </xdr:to>
    <xdr:sp macro="" textlink="">
      <xdr:nvSpPr>
        <xdr:cNvPr id="1090" name="AutoShape 66">
          <a:extLst>
            <a:ext uri="{FF2B5EF4-FFF2-40B4-BE49-F238E27FC236}">
              <a16:creationId xmlns:a16="http://schemas.microsoft.com/office/drawing/2014/main" id="{A5B8B397-0F21-C8D1-A441-0155866FD379}"/>
            </a:ext>
          </a:extLst>
        </xdr:cNvPr>
        <xdr:cNvSpPr>
          <a:spLocks noChangeArrowheads="1"/>
        </xdr:cNvSpPr>
      </xdr:nvSpPr>
      <xdr:spPr bwMode="auto">
        <a:xfrm>
          <a:off x="7267575" y="2457450"/>
          <a:ext cx="1343025" cy="1123950"/>
        </a:xfrm>
        <a:prstGeom prst="roundRect">
          <a:avLst>
            <a:gd name="adj" fmla="val 16667"/>
          </a:avLst>
        </a:prstGeom>
        <a:solidFill>
          <a:srgbClr val="FFFF99"/>
        </a:solidFill>
        <a:ln w="9525">
          <a:solidFill>
            <a:srgbClr val="000000"/>
          </a:solidFill>
          <a:round/>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右上に赤い三角のあるセルはマウスをオーバすることでヘルプが表示されます。</a:t>
          </a:r>
        </a:p>
      </xdr:txBody>
    </xdr:sp>
    <xdr:clientData/>
  </xdr:twoCellAnchor>
  <xdr:oneCellAnchor>
    <xdr:from>
      <xdr:col>0</xdr:col>
      <xdr:colOff>32270</xdr:colOff>
      <xdr:row>0</xdr:row>
      <xdr:rowOff>74355</xdr:rowOff>
    </xdr:from>
    <xdr:ext cx="1199111" cy="184666"/>
    <xdr:sp macro="" textlink="">
      <xdr:nvSpPr>
        <xdr:cNvPr id="1098" name="Text Box 74">
          <a:extLst>
            <a:ext uri="{FF2B5EF4-FFF2-40B4-BE49-F238E27FC236}">
              <a16:creationId xmlns:a16="http://schemas.microsoft.com/office/drawing/2014/main" id="{322B56E2-F712-FF4A-CA92-F153203E8A51}"/>
            </a:ext>
          </a:extLst>
        </xdr:cNvPr>
        <xdr:cNvSpPr txBox="1">
          <a:spLocks noChangeArrowheads="1"/>
        </xdr:cNvSpPr>
      </xdr:nvSpPr>
      <xdr:spPr bwMode="auto">
        <a:xfrm>
          <a:off x="32270" y="74355"/>
          <a:ext cx="1199111" cy="184666"/>
        </a:xfrm>
        <a:prstGeom prst="rect">
          <a:avLst/>
        </a:prstGeom>
        <a:solidFill>
          <a:srgbClr val="FF9900"/>
        </a:solidFill>
        <a:ln w="9525">
          <a:solidFill>
            <a:srgbClr val="000000"/>
          </a:solidFill>
          <a:miter lim="800000"/>
          <a:headEnd/>
          <a:tailEnd/>
        </a:ln>
      </xdr:spPr>
      <xdr:txBody>
        <a:bodyPr wrap="none" lIns="74295" tIns="8890" rIns="74295" bIns="8890" anchor="ctr" upright="1">
          <a:spAutoFit/>
        </a:bodyPr>
        <a:lstStyle/>
        <a:p>
          <a:pPr algn="ctr" rtl="0">
            <a:defRPr sz="1000"/>
          </a:pPr>
          <a:r>
            <a:rPr lang="ja-JP" altLang="en-US" sz="1000" b="1" i="0" u="none" strike="noStrike" baseline="0">
              <a:solidFill>
                <a:srgbClr val="FFFFFF"/>
              </a:solidFill>
              <a:latin typeface="ＭＳ Ｐゴシック"/>
              <a:ea typeface="ＭＳ Ｐゴシック"/>
            </a:rPr>
            <a:t>管理区分・</a:t>
          </a:r>
          <a:r>
            <a:rPr lang="en-US" altLang="ja-JP" sz="1000" b="1" i="0" u="none" strike="noStrike" baseline="0">
              <a:solidFill>
                <a:srgbClr val="FFFFFF"/>
              </a:solidFill>
              <a:latin typeface="ＭＳ Ｐゴシック"/>
              <a:ea typeface="ＭＳ Ｐゴシック"/>
            </a:rPr>
            <a:t>H</a:t>
          </a:r>
          <a:r>
            <a:rPr lang="ja-JP" altLang="en-US" sz="1000" b="1" i="0" u="none" strike="noStrike" baseline="0">
              <a:solidFill>
                <a:srgbClr val="FFFFFF"/>
              </a:solidFill>
              <a:latin typeface="ＭＳ Ｐゴシック"/>
              <a:ea typeface="ＭＳ Ｐゴシック"/>
            </a:rPr>
            <a:t>（重要）</a:t>
          </a:r>
        </a:p>
      </xdr:txBody>
    </xdr:sp>
    <xdr:clientData/>
  </xdr:oneCellAnchor>
  <xdr:twoCellAnchor>
    <xdr:from>
      <xdr:col>7</xdr:col>
      <xdr:colOff>711200</xdr:colOff>
      <xdr:row>0</xdr:row>
      <xdr:rowOff>57150</xdr:rowOff>
    </xdr:from>
    <xdr:to>
      <xdr:col>10</xdr:col>
      <xdr:colOff>603250</xdr:colOff>
      <xdr:row>0</xdr:row>
      <xdr:rowOff>336550</xdr:rowOff>
    </xdr:to>
    <xdr:pic>
      <xdr:nvPicPr>
        <xdr:cNvPr id="1196" name="Picture 75" descr="http://www.isid.co.jp/images/logo/0001.gif">
          <a:extLst>
            <a:ext uri="{FF2B5EF4-FFF2-40B4-BE49-F238E27FC236}">
              <a16:creationId xmlns:a16="http://schemas.microsoft.com/office/drawing/2014/main" id="{9B8139DF-A290-571C-1766-D17D8E149F26}"/>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t="9288" b="47667"/>
        <a:stretch>
          <a:fillRect/>
        </a:stretch>
      </xdr:blipFill>
      <xdr:spPr bwMode="auto">
        <a:xfrm>
          <a:off x="6096000" y="57150"/>
          <a:ext cx="1511300"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32270</xdr:colOff>
      <xdr:row>0</xdr:row>
      <xdr:rowOff>74355</xdr:rowOff>
    </xdr:from>
    <xdr:ext cx="1199110" cy="184666"/>
    <xdr:sp macro="" textlink="">
      <xdr:nvSpPr>
        <xdr:cNvPr id="46083" name="Text Box 3">
          <a:extLst>
            <a:ext uri="{FF2B5EF4-FFF2-40B4-BE49-F238E27FC236}">
              <a16:creationId xmlns:a16="http://schemas.microsoft.com/office/drawing/2014/main" id="{96AA2903-0AA8-C979-BAD6-3B922829A68F}"/>
            </a:ext>
          </a:extLst>
        </xdr:cNvPr>
        <xdr:cNvSpPr txBox="1">
          <a:spLocks noChangeArrowheads="1"/>
        </xdr:cNvSpPr>
      </xdr:nvSpPr>
      <xdr:spPr bwMode="auto">
        <a:xfrm>
          <a:off x="32270" y="74355"/>
          <a:ext cx="1199110" cy="184666"/>
        </a:xfrm>
        <a:prstGeom prst="rect">
          <a:avLst/>
        </a:prstGeom>
        <a:solidFill>
          <a:srgbClr val="FF9900"/>
        </a:solidFill>
        <a:ln w="9525">
          <a:solidFill>
            <a:srgbClr val="000000"/>
          </a:solidFill>
          <a:miter lim="800000"/>
          <a:headEnd/>
          <a:tailEnd/>
        </a:ln>
      </xdr:spPr>
      <xdr:txBody>
        <a:bodyPr wrap="none" lIns="74295" tIns="8890" rIns="74295" bIns="8890" anchor="ctr" upright="1">
          <a:spAutoFit/>
        </a:bodyPr>
        <a:lstStyle/>
        <a:p>
          <a:pPr algn="ctr" rtl="0">
            <a:defRPr sz="1000"/>
          </a:pPr>
          <a:r>
            <a:rPr lang="ja-JP" altLang="en-US" sz="1000" b="1" i="0" u="none" strike="noStrike" baseline="0">
              <a:solidFill>
                <a:srgbClr val="FFFFFF"/>
              </a:solidFill>
              <a:latin typeface="ＭＳ Ｐゴシック"/>
              <a:ea typeface="ＭＳ Ｐゴシック"/>
            </a:rPr>
            <a:t>管理区分・</a:t>
          </a:r>
          <a:r>
            <a:rPr lang="en-US" altLang="ja-JP" sz="1000" b="1" i="0" u="none" strike="noStrike" baseline="0">
              <a:solidFill>
                <a:srgbClr val="FFFFFF"/>
              </a:solidFill>
              <a:latin typeface="ＭＳ Ｐゴシック"/>
              <a:ea typeface="ＭＳ Ｐゴシック"/>
            </a:rPr>
            <a:t>H</a:t>
          </a:r>
          <a:r>
            <a:rPr lang="ja-JP" altLang="en-US" sz="1000" b="1" i="0" u="none" strike="noStrike" baseline="0">
              <a:solidFill>
                <a:srgbClr val="FFFFFF"/>
              </a:solidFill>
              <a:latin typeface="ＭＳ Ｐゴシック"/>
              <a:ea typeface="ＭＳ Ｐゴシック"/>
            </a:rPr>
            <a:t>（重要）</a:t>
          </a:r>
        </a:p>
      </xdr:txBody>
    </xdr:sp>
    <xdr:clientData/>
  </xdr:oneCellAnchor>
  <xdr:twoCellAnchor>
    <xdr:from>
      <xdr:col>7</xdr:col>
      <xdr:colOff>203200</xdr:colOff>
      <xdr:row>0</xdr:row>
      <xdr:rowOff>63500</xdr:rowOff>
    </xdr:from>
    <xdr:to>
      <xdr:col>10</xdr:col>
      <xdr:colOff>590550</xdr:colOff>
      <xdr:row>0</xdr:row>
      <xdr:rowOff>323850</xdr:rowOff>
    </xdr:to>
    <xdr:pic>
      <xdr:nvPicPr>
        <xdr:cNvPr id="46132" name="Picture 4" descr="http://www.isid.co.jp/images/logo/0001.gif">
          <a:extLst>
            <a:ext uri="{FF2B5EF4-FFF2-40B4-BE49-F238E27FC236}">
              <a16:creationId xmlns:a16="http://schemas.microsoft.com/office/drawing/2014/main" id="{9785CC5B-9B4F-7EF3-2D37-EF72EAE3C7BF}"/>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t="9288" b="47667"/>
        <a:stretch>
          <a:fillRect/>
        </a:stretch>
      </xdr:blipFill>
      <xdr:spPr bwMode="auto">
        <a:xfrm>
          <a:off x="5365750" y="63500"/>
          <a:ext cx="2101850" cy="260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32270</xdr:colOff>
      <xdr:row>0</xdr:row>
      <xdr:rowOff>74355</xdr:rowOff>
    </xdr:from>
    <xdr:ext cx="1199110" cy="184666"/>
    <xdr:sp macro="" textlink="">
      <xdr:nvSpPr>
        <xdr:cNvPr id="64515" name="Text Box 3">
          <a:extLst>
            <a:ext uri="{FF2B5EF4-FFF2-40B4-BE49-F238E27FC236}">
              <a16:creationId xmlns:a16="http://schemas.microsoft.com/office/drawing/2014/main" id="{CA9E1CAB-E4A9-959F-B51D-6D4FDB34CA75}"/>
            </a:ext>
          </a:extLst>
        </xdr:cNvPr>
        <xdr:cNvSpPr txBox="1">
          <a:spLocks noChangeArrowheads="1"/>
        </xdr:cNvSpPr>
      </xdr:nvSpPr>
      <xdr:spPr bwMode="auto">
        <a:xfrm>
          <a:off x="32270" y="74355"/>
          <a:ext cx="1199110" cy="184666"/>
        </a:xfrm>
        <a:prstGeom prst="rect">
          <a:avLst/>
        </a:prstGeom>
        <a:solidFill>
          <a:srgbClr val="FF9900"/>
        </a:solidFill>
        <a:ln w="9525">
          <a:solidFill>
            <a:srgbClr val="000000"/>
          </a:solidFill>
          <a:miter lim="800000"/>
          <a:headEnd/>
          <a:tailEnd/>
        </a:ln>
      </xdr:spPr>
      <xdr:txBody>
        <a:bodyPr wrap="none" lIns="74295" tIns="8890" rIns="74295" bIns="8890" anchor="ctr" upright="1">
          <a:spAutoFit/>
        </a:bodyPr>
        <a:lstStyle/>
        <a:p>
          <a:pPr algn="ctr" rtl="0">
            <a:defRPr sz="1000"/>
          </a:pPr>
          <a:r>
            <a:rPr lang="ja-JP" altLang="en-US" sz="1000" b="1" i="0" u="none" strike="noStrike" baseline="0">
              <a:solidFill>
                <a:srgbClr val="FFFFFF"/>
              </a:solidFill>
              <a:latin typeface="ＭＳ Ｐゴシック"/>
              <a:ea typeface="ＭＳ Ｐゴシック"/>
            </a:rPr>
            <a:t>管理区分・</a:t>
          </a:r>
          <a:r>
            <a:rPr lang="en-US" altLang="ja-JP" sz="1000" b="1" i="0" u="none" strike="noStrike" baseline="0">
              <a:solidFill>
                <a:srgbClr val="FFFFFF"/>
              </a:solidFill>
              <a:latin typeface="ＭＳ Ｐゴシック"/>
              <a:ea typeface="ＭＳ Ｐゴシック"/>
            </a:rPr>
            <a:t>H</a:t>
          </a:r>
          <a:r>
            <a:rPr lang="ja-JP" altLang="en-US" sz="1000" b="1" i="0" u="none" strike="noStrike" baseline="0">
              <a:solidFill>
                <a:srgbClr val="FFFFFF"/>
              </a:solidFill>
              <a:latin typeface="ＭＳ Ｐゴシック"/>
              <a:ea typeface="ＭＳ Ｐゴシック"/>
            </a:rPr>
            <a:t>（重要）</a:t>
          </a:r>
        </a:p>
      </xdr:txBody>
    </xdr:sp>
    <xdr:clientData/>
  </xdr:oneCellAnchor>
  <xdr:twoCellAnchor>
    <xdr:from>
      <xdr:col>7</xdr:col>
      <xdr:colOff>203200</xdr:colOff>
      <xdr:row>0</xdr:row>
      <xdr:rowOff>63500</xdr:rowOff>
    </xdr:from>
    <xdr:to>
      <xdr:col>10</xdr:col>
      <xdr:colOff>590550</xdr:colOff>
      <xdr:row>0</xdr:row>
      <xdr:rowOff>323850</xdr:rowOff>
    </xdr:to>
    <xdr:pic>
      <xdr:nvPicPr>
        <xdr:cNvPr id="64562" name="Picture 4" descr="http://www.isid.co.jp/images/logo/0001.gif">
          <a:extLst>
            <a:ext uri="{FF2B5EF4-FFF2-40B4-BE49-F238E27FC236}">
              <a16:creationId xmlns:a16="http://schemas.microsoft.com/office/drawing/2014/main" id="{F47358BE-8333-0B83-31A7-ECDAC4EA068A}"/>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t="9288" b="47667"/>
        <a:stretch>
          <a:fillRect/>
        </a:stretch>
      </xdr:blipFill>
      <xdr:spPr bwMode="auto">
        <a:xfrm>
          <a:off x="5365750" y="63500"/>
          <a:ext cx="2101850" cy="260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32270</xdr:colOff>
      <xdr:row>0</xdr:row>
      <xdr:rowOff>74355</xdr:rowOff>
    </xdr:from>
    <xdr:ext cx="1199110" cy="184666"/>
    <xdr:sp macro="" textlink="">
      <xdr:nvSpPr>
        <xdr:cNvPr id="65539" name="Text Box 3">
          <a:extLst>
            <a:ext uri="{FF2B5EF4-FFF2-40B4-BE49-F238E27FC236}">
              <a16:creationId xmlns:a16="http://schemas.microsoft.com/office/drawing/2014/main" id="{A6F3E24C-440F-0ADF-6382-08EF928EAE35}"/>
            </a:ext>
          </a:extLst>
        </xdr:cNvPr>
        <xdr:cNvSpPr txBox="1">
          <a:spLocks noChangeArrowheads="1"/>
        </xdr:cNvSpPr>
      </xdr:nvSpPr>
      <xdr:spPr bwMode="auto">
        <a:xfrm>
          <a:off x="32270" y="74355"/>
          <a:ext cx="1199110" cy="184666"/>
        </a:xfrm>
        <a:prstGeom prst="rect">
          <a:avLst/>
        </a:prstGeom>
        <a:solidFill>
          <a:srgbClr val="FF9900"/>
        </a:solidFill>
        <a:ln w="9525">
          <a:solidFill>
            <a:srgbClr val="000000"/>
          </a:solidFill>
          <a:miter lim="800000"/>
          <a:headEnd/>
          <a:tailEnd/>
        </a:ln>
      </xdr:spPr>
      <xdr:txBody>
        <a:bodyPr wrap="none" lIns="74295" tIns="8890" rIns="74295" bIns="8890" anchor="ctr" upright="1">
          <a:spAutoFit/>
        </a:bodyPr>
        <a:lstStyle/>
        <a:p>
          <a:pPr algn="ctr" rtl="0">
            <a:defRPr sz="1000"/>
          </a:pPr>
          <a:r>
            <a:rPr lang="ja-JP" altLang="en-US" sz="1000" b="1" i="0" u="none" strike="noStrike" baseline="0">
              <a:solidFill>
                <a:srgbClr val="FFFFFF"/>
              </a:solidFill>
              <a:latin typeface="ＭＳ Ｐゴシック"/>
              <a:ea typeface="ＭＳ Ｐゴシック"/>
            </a:rPr>
            <a:t>管理区分・</a:t>
          </a:r>
          <a:r>
            <a:rPr lang="en-US" altLang="ja-JP" sz="1000" b="1" i="0" u="none" strike="noStrike" baseline="0">
              <a:solidFill>
                <a:srgbClr val="FFFFFF"/>
              </a:solidFill>
              <a:latin typeface="ＭＳ Ｐゴシック"/>
              <a:ea typeface="ＭＳ Ｐゴシック"/>
            </a:rPr>
            <a:t>H</a:t>
          </a:r>
          <a:r>
            <a:rPr lang="ja-JP" altLang="en-US" sz="1000" b="1" i="0" u="none" strike="noStrike" baseline="0">
              <a:solidFill>
                <a:srgbClr val="FFFFFF"/>
              </a:solidFill>
              <a:latin typeface="ＭＳ Ｐゴシック"/>
              <a:ea typeface="ＭＳ Ｐゴシック"/>
            </a:rPr>
            <a:t>（重要）</a:t>
          </a:r>
        </a:p>
      </xdr:txBody>
    </xdr:sp>
    <xdr:clientData/>
  </xdr:oneCellAnchor>
  <xdr:twoCellAnchor>
    <xdr:from>
      <xdr:col>7</xdr:col>
      <xdr:colOff>203200</xdr:colOff>
      <xdr:row>0</xdr:row>
      <xdr:rowOff>63500</xdr:rowOff>
    </xdr:from>
    <xdr:to>
      <xdr:col>10</xdr:col>
      <xdr:colOff>590550</xdr:colOff>
      <xdr:row>0</xdr:row>
      <xdr:rowOff>323850</xdr:rowOff>
    </xdr:to>
    <xdr:pic>
      <xdr:nvPicPr>
        <xdr:cNvPr id="65586" name="Picture 4" descr="http://www.isid.co.jp/images/logo/0001.gif">
          <a:extLst>
            <a:ext uri="{FF2B5EF4-FFF2-40B4-BE49-F238E27FC236}">
              <a16:creationId xmlns:a16="http://schemas.microsoft.com/office/drawing/2014/main" id="{17E15164-850F-8329-DCCB-D5A0D0A7AC5B}"/>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t="9288" b="47667"/>
        <a:stretch>
          <a:fillRect/>
        </a:stretch>
      </xdr:blipFill>
      <xdr:spPr bwMode="auto">
        <a:xfrm>
          <a:off x="5365750" y="63500"/>
          <a:ext cx="2101850" cy="260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32270</xdr:colOff>
      <xdr:row>0</xdr:row>
      <xdr:rowOff>74355</xdr:rowOff>
    </xdr:from>
    <xdr:ext cx="1199110" cy="184666"/>
    <xdr:sp macro="" textlink="">
      <xdr:nvSpPr>
        <xdr:cNvPr id="66563" name="Text Box 3">
          <a:extLst>
            <a:ext uri="{FF2B5EF4-FFF2-40B4-BE49-F238E27FC236}">
              <a16:creationId xmlns:a16="http://schemas.microsoft.com/office/drawing/2014/main" id="{8811CF33-DC6F-E121-6674-BC4CA652736B}"/>
            </a:ext>
          </a:extLst>
        </xdr:cNvPr>
        <xdr:cNvSpPr txBox="1">
          <a:spLocks noChangeArrowheads="1"/>
        </xdr:cNvSpPr>
      </xdr:nvSpPr>
      <xdr:spPr bwMode="auto">
        <a:xfrm>
          <a:off x="32270" y="74355"/>
          <a:ext cx="1199110" cy="184666"/>
        </a:xfrm>
        <a:prstGeom prst="rect">
          <a:avLst/>
        </a:prstGeom>
        <a:solidFill>
          <a:srgbClr val="FF9900"/>
        </a:solidFill>
        <a:ln w="9525">
          <a:solidFill>
            <a:srgbClr val="000000"/>
          </a:solidFill>
          <a:miter lim="800000"/>
          <a:headEnd/>
          <a:tailEnd/>
        </a:ln>
      </xdr:spPr>
      <xdr:txBody>
        <a:bodyPr wrap="none" lIns="74295" tIns="8890" rIns="74295" bIns="8890" anchor="ctr" upright="1">
          <a:spAutoFit/>
        </a:bodyPr>
        <a:lstStyle/>
        <a:p>
          <a:pPr algn="ctr" rtl="0">
            <a:defRPr sz="1000"/>
          </a:pPr>
          <a:r>
            <a:rPr lang="ja-JP" altLang="en-US" sz="1000" b="1" i="0" u="none" strike="noStrike" baseline="0">
              <a:solidFill>
                <a:srgbClr val="FFFFFF"/>
              </a:solidFill>
              <a:latin typeface="ＭＳ Ｐゴシック"/>
              <a:ea typeface="ＭＳ Ｐゴシック"/>
            </a:rPr>
            <a:t>管理区分・</a:t>
          </a:r>
          <a:r>
            <a:rPr lang="en-US" altLang="ja-JP" sz="1000" b="1" i="0" u="none" strike="noStrike" baseline="0">
              <a:solidFill>
                <a:srgbClr val="FFFFFF"/>
              </a:solidFill>
              <a:latin typeface="ＭＳ Ｐゴシック"/>
              <a:ea typeface="ＭＳ Ｐゴシック"/>
            </a:rPr>
            <a:t>H</a:t>
          </a:r>
          <a:r>
            <a:rPr lang="ja-JP" altLang="en-US" sz="1000" b="1" i="0" u="none" strike="noStrike" baseline="0">
              <a:solidFill>
                <a:srgbClr val="FFFFFF"/>
              </a:solidFill>
              <a:latin typeface="ＭＳ Ｐゴシック"/>
              <a:ea typeface="ＭＳ Ｐゴシック"/>
            </a:rPr>
            <a:t>（重要）</a:t>
          </a:r>
        </a:p>
      </xdr:txBody>
    </xdr:sp>
    <xdr:clientData/>
  </xdr:oneCellAnchor>
  <xdr:twoCellAnchor>
    <xdr:from>
      <xdr:col>7</xdr:col>
      <xdr:colOff>203200</xdr:colOff>
      <xdr:row>0</xdr:row>
      <xdr:rowOff>63500</xdr:rowOff>
    </xdr:from>
    <xdr:to>
      <xdr:col>10</xdr:col>
      <xdr:colOff>590550</xdr:colOff>
      <xdr:row>0</xdr:row>
      <xdr:rowOff>323850</xdr:rowOff>
    </xdr:to>
    <xdr:pic>
      <xdr:nvPicPr>
        <xdr:cNvPr id="66610" name="Picture 4" descr="http://www.isid.co.jp/images/logo/0001.gif">
          <a:extLst>
            <a:ext uri="{FF2B5EF4-FFF2-40B4-BE49-F238E27FC236}">
              <a16:creationId xmlns:a16="http://schemas.microsoft.com/office/drawing/2014/main" id="{A1F5398B-4056-04FF-5E2A-676350C94193}"/>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t="9288" b="47667"/>
        <a:stretch>
          <a:fillRect/>
        </a:stretch>
      </xdr:blipFill>
      <xdr:spPr bwMode="auto">
        <a:xfrm>
          <a:off x="5365750" y="63500"/>
          <a:ext cx="2101850" cy="260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55155-99FC-4BB1-944E-8C82EDA9E8E9}">
  <dimension ref="B2:I23"/>
  <sheetViews>
    <sheetView tabSelected="1" workbookViewId="0"/>
  </sheetViews>
  <sheetFormatPr defaultColWidth="9" defaultRowHeight="13" x14ac:dyDescent="0.2"/>
  <cols>
    <col min="1" max="1" width="3.453125" style="95" customWidth="1"/>
    <col min="2" max="2" width="12.453125" style="95" customWidth="1"/>
    <col min="3" max="3" width="13.90625" style="95" customWidth="1"/>
    <col min="4" max="9" width="13" style="95" customWidth="1"/>
    <col min="10" max="16384" width="9" style="95"/>
  </cols>
  <sheetData>
    <row r="2" spans="2:9" ht="16.5" x14ac:dyDescent="0.2">
      <c r="B2" s="96" t="s">
        <v>196</v>
      </c>
    </row>
    <row r="4" spans="2:9" x14ac:dyDescent="0.2">
      <c r="B4" s="103" t="s">
        <v>197</v>
      </c>
      <c r="C4" s="103" t="s">
        <v>198</v>
      </c>
      <c r="D4" s="103" t="s">
        <v>199</v>
      </c>
      <c r="E4" s="103"/>
      <c r="F4" s="103" t="s">
        <v>200</v>
      </c>
      <c r="G4" s="103"/>
      <c r="H4" s="103" t="s">
        <v>201</v>
      </c>
      <c r="I4" s="103"/>
    </row>
    <row r="5" spans="2:9" x14ac:dyDescent="0.2">
      <c r="B5" s="104"/>
      <c r="C5" s="104"/>
      <c r="D5" s="97" t="s">
        <v>202</v>
      </c>
      <c r="E5" s="97" t="s">
        <v>203</v>
      </c>
      <c r="F5" s="97" t="s">
        <v>202</v>
      </c>
      <c r="G5" s="97" t="s">
        <v>203</v>
      </c>
      <c r="H5" s="97" t="s">
        <v>202</v>
      </c>
      <c r="I5" s="97" t="s">
        <v>203</v>
      </c>
    </row>
    <row r="6" spans="2:9" x14ac:dyDescent="0.2">
      <c r="B6" s="98" t="s">
        <v>204</v>
      </c>
      <c r="C6" s="99" t="s">
        <v>205</v>
      </c>
      <c r="D6" s="99" t="s">
        <v>206</v>
      </c>
      <c r="E6" s="100">
        <v>41766</v>
      </c>
      <c r="F6" s="99" t="s">
        <v>211</v>
      </c>
      <c r="G6" s="100">
        <v>41768</v>
      </c>
      <c r="H6" s="99"/>
      <c r="I6" s="100"/>
    </row>
    <row r="7" spans="2:9" x14ac:dyDescent="0.2">
      <c r="B7" s="98" t="s">
        <v>215</v>
      </c>
      <c r="C7" s="99" t="s">
        <v>205</v>
      </c>
      <c r="D7" s="99" t="s">
        <v>206</v>
      </c>
      <c r="E7" s="100">
        <v>41789</v>
      </c>
      <c r="F7" s="99" t="s">
        <v>211</v>
      </c>
      <c r="G7" s="100">
        <v>41789</v>
      </c>
      <c r="H7" s="101"/>
      <c r="I7" s="101"/>
    </row>
    <row r="8" spans="2:9" x14ac:dyDescent="0.2">
      <c r="B8" s="98"/>
      <c r="C8" s="99"/>
      <c r="D8" s="99"/>
      <c r="E8" s="100"/>
      <c r="F8" s="99"/>
      <c r="G8" s="100"/>
      <c r="H8" s="101"/>
      <c r="I8" s="101"/>
    </row>
    <row r="9" spans="2:9" x14ac:dyDescent="0.2">
      <c r="B9" s="101"/>
      <c r="C9" s="101"/>
      <c r="D9" s="101"/>
      <c r="E9" s="101"/>
      <c r="F9" s="101"/>
      <c r="G9" s="101"/>
      <c r="H9" s="101"/>
      <c r="I9" s="101"/>
    </row>
    <row r="10" spans="2:9" x14ac:dyDescent="0.2">
      <c r="B10" s="101"/>
      <c r="C10" s="101"/>
      <c r="D10" s="101"/>
      <c r="E10" s="101"/>
      <c r="F10" s="101"/>
      <c r="G10" s="101"/>
      <c r="H10" s="101"/>
      <c r="I10" s="101"/>
    </row>
    <row r="11" spans="2:9" x14ac:dyDescent="0.2">
      <c r="B11" s="101"/>
      <c r="C11" s="101"/>
      <c r="D11" s="101"/>
      <c r="E11" s="101"/>
      <c r="F11" s="101"/>
      <c r="G11" s="101"/>
      <c r="H11" s="101"/>
      <c r="I11" s="101"/>
    </row>
    <row r="15" spans="2:9" ht="16.5" x14ac:dyDescent="0.2">
      <c r="B15" s="96" t="s">
        <v>207</v>
      </c>
    </row>
    <row r="17" spans="2:9" x14ac:dyDescent="0.2">
      <c r="B17" s="97" t="s">
        <v>197</v>
      </c>
      <c r="C17" s="103" t="s">
        <v>208</v>
      </c>
      <c r="D17" s="105"/>
      <c r="E17" s="105"/>
      <c r="F17" s="105"/>
      <c r="G17" s="105"/>
      <c r="H17" s="105"/>
      <c r="I17" s="105"/>
    </row>
    <row r="18" spans="2:9" ht="86.25" customHeight="1" x14ac:dyDescent="0.2">
      <c r="B18" s="98" t="s">
        <v>204</v>
      </c>
      <c r="C18" s="106" t="s">
        <v>209</v>
      </c>
      <c r="D18" s="105"/>
      <c r="E18" s="105"/>
      <c r="F18" s="105"/>
      <c r="G18" s="105"/>
      <c r="H18" s="105"/>
      <c r="I18" s="105"/>
    </row>
    <row r="19" spans="2:9" x14ac:dyDescent="0.2">
      <c r="B19" s="98" t="s">
        <v>215</v>
      </c>
      <c r="C19" s="106" t="s">
        <v>216</v>
      </c>
      <c r="D19" s="105"/>
      <c r="E19" s="105"/>
      <c r="F19" s="105"/>
      <c r="G19" s="105"/>
      <c r="H19" s="105"/>
      <c r="I19" s="105"/>
    </row>
    <row r="20" spans="2:9" x14ac:dyDescent="0.2">
      <c r="B20" s="98"/>
      <c r="C20" s="107"/>
      <c r="D20" s="105"/>
      <c r="E20" s="105"/>
      <c r="F20" s="105"/>
      <c r="G20" s="105"/>
      <c r="H20" s="105"/>
      <c r="I20" s="105"/>
    </row>
    <row r="21" spans="2:9" x14ac:dyDescent="0.2">
      <c r="B21" s="101"/>
      <c r="C21" s="105"/>
      <c r="D21" s="105"/>
      <c r="E21" s="105"/>
      <c r="F21" s="105"/>
      <c r="G21" s="105"/>
      <c r="H21" s="105"/>
      <c r="I21" s="105"/>
    </row>
    <row r="22" spans="2:9" x14ac:dyDescent="0.2">
      <c r="B22" s="101"/>
      <c r="C22" s="105"/>
      <c r="D22" s="105"/>
      <c r="E22" s="105"/>
      <c r="F22" s="105"/>
      <c r="G22" s="105"/>
      <c r="H22" s="105"/>
      <c r="I22" s="105"/>
    </row>
    <row r="23" spans="2:9" x14ac:dyDescent="0.2">
      <c r="B23" s="101"/>
      <c r="C23" s="105"/>
      <c r="D23" s="105"/>
      <c r="E23" s="105"/>
      <c r="F23" s="105"/>
      <c r="G23" s="105"/>
      <c r="H23" s="105"/>
      <c r="I23" s="105"/>
    </row>
  </sheetData>
  <mergeCells count="12">
    <mergeCell ref="C18:I18"/>
    <mergeCell ref="C19:I19"/>
    <mergeCell ref="C20:I20"/>
    <mergeCell ref="C21:I21"/>
    <mergeCell ref="C22:I22"/>
    <mergeCell ref="C23:I23"/>
    <mergeCell ref="B4:B5"/>
    <mergeCell ref="C4:C5"/>
    <mergeCell ref="D4:E4"/>
    <mergeCell ref="F4:G4"/>
    <mergeCell ref="H4:I4"/>
    <mergeCell ref="C17:I17"/>
  </mergeCells>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A23F9-75EF-4C2A-A258-55908F2B4998}">
  <sheetPr codeName="Sheet1">
    <pageSetUpPr fitToPage="1"/>
  </sheetPr>
  <dimension ref="B1:H36"/>
  <sheetViews>
    <sheetView view="pageBreakPreview" zoomScaleNormal="100" workbookViewId="0">
      <pane xSplit="1" ySplit="1" topLeftCell="B2" activePane="bottomRight" state="frozen"/>
      <selection pane="topRight" activeCell="B1" sqref="B1"/>
      <selection pane="bottomLeft" activeCell="A2" sqref="A2"/>
      <selection pane="bottomRight" activeCell="B2" sqref="B2"/>
    </sheetView>
  </sheetViews>
  <sheetFormatPr defaultColWidth="9" defaultRowHeight="12" x14ac:dyDescent="0.2"/>
  <cols>
    <col min="1" max="1" width="23" style="1" customWidth="1"/>
    <col min="2" max="2" width="10.36328125" style="1" customWidth="1"/>
    <col min="3" max="3" width="20.90625" style="1" customWidth="1"/>
    <col min="4" max="4" width="41.6328125" style="1" customWidth="1"/>
    <col min="5" max="5" width="12.26953125" style="58" bestFit="1" customWidth="1"/>
    <col min="6" max="6" width="10.7265625" style="53" bestFit="1" customWidth="1"/>
    <col min="7" max="7" width="8.36328125" style="51" bestFit="1" customWidth="1"/>
    <col min="8" max="8" width="8.08984375" style="53" customWidth="1"/>
    <col min="9" max="16384" width="9" style="1"/>
  </cols>
  <sheetData>
    <row r="1" spans="2:8" x14ac:dyDescent="0.2">
      <c r="B1" s="25" t="s">
        <v>29</v>
      </c>
      <c r="C1" s="25" t="s">
        <v>15</v>
      </c>
      <c r="D1" s="25" t="s">
        <v>4</v>
      </c>
      <c r="E1" s="54" t="s">
        <v>16</v>
      </c>
      <c r="F1" s="54" t="s">
        <v>24</v>
      </c>
      <c r="G1" s="49" t="s">
        <v>18</v>
      </c>
      <c r="H1" s="54" t="s">
        <v>19</v>
      </c>
    </row>
    <row r="2" spans="2:8" ht="24" customHeight="1" x14ac:dyDescent="0.2">
      <c r="B2" s="43" t="s">
        <v>156</v>
      </c>
      <c r="C2" s="43" t="s">
        <v>157</v>
      </c>
      <c r="D2" s="43" t="s">
        <v>158</v>
      </c>
      <c r="E2" s="52"/>
      <c r="F2" s="52" t="s">
        <v>45</v>
      </c>
      <c r="G2" s="50"/>
      <c r="H2" s="52"/>
    </row>
    <row r="3" spans="2:8" ht="24" customHeight="1" x14ac:dyDescent="0.2">
      <c r="B3" s="43" t="s">
        <v>159</v>
      </c>
      <c r="C3" s="43" t="s">
        <v>160</v>
      </c>
      <c r="D3" s="43" t="s">
        <v>158</v>
      </c>
      <c r="E3" s="52"/>
      <c r="F3" s="52" t="s">
        <v>45</v>
      </c>
      <c r="G3" s="50"/>
      <c r="H3" s="52"/>
    </row>
    <row r="4" spans="2:8" ht="24" customHeight="1" x14ac:dyDescent="0.2">
      <c r="B4" s="43" t="s">
        <v>161</v>
      </c>
      <c r="C4" s="43" t="s">
        <v>110</v>
      </c>
      <c r="D4" s="43" t="s">
        <v>111</v>
      </c>
      <c r="E4" s="52"/>
      <c r="F4" s="52" t="s">
        <v>45</v>
      </c>
      <c r="G4" s="50"/>
      <c r="H4" s="52"/>
    </row>
    <row r="5" spans="2:8" ht="24" customHeight="1" x14ac:dyDescent="0.2">
      <c r="B5" s="43" t="s">
        <v>162</v>
      </c>
      <c r="C5" s="43" t="s">
        <v>140</v>
      </c>
      <c r="D5" s="43" t="s">
        <v>141</v>
      </c>
      <c r="E5" s="57"/>
      <c r="F5" s="52" t="s">
        <v>45</v>
      </c>
      <c r="G5" s="50"/>
      <c r="H5" s="52"/>
    </row>
    <row r="6" spans="2:8" ht="24" customHeight="1" x14ac:dyDescent="0.2">
      <c r="B6" s="43"/>
      <c r="C6" s="43"/>
      <c r="D6" s="43"/>
      <c r="E6" s="57"/>
      <c r="F6" s="52"/>
      <c r="G6" s="50"/>
      <c r="H6" s="52"/>
    </row>
    <row r="7" spans="2:8" ht="36.75" customHeight="1" x14ac:dyDescent="0.2">
      <c r="B7" s="43"/>
      <c r="C7" s="43"/>
      <c r="D7" s="43"/>
      <c r="E7" s="57"/>
      <c r="F7" s="52"/>
      <c r="G7" s="50"/>
      <c r="H7" s="52"/>
    </row>
    <row r="8" spans="2:8" ht="24" customHeight="1" x14ac:dyDescent="0.2">
      <c r="B8" s="43"/>
      <c r="C8" s="43"/>
      <c r="D8" s="43"/>
      <c r="E8" s="57"/>
      <c r="F8" s="52"/>
      <c r="G8" s="50"/>
      <c r="H8" s="52"/>
    </row>
    <row r="9" spans="2:8" ht="24" customHeight="1" x14ac:dyDescent="0.2">
      <c r="B9" s="43"/>
      <c r="C9" s="43"/>
      <c r="D9" s="43"/>
      <c r="E9" s="57"/>
      <c r="F9" s="52"/>
      <c r="G9" s="50"/>
      <c r="H9" s="52"/>
    </row>
    <row r="10" spans="2:8" ht="24" customHeight="1" x14ac:dyDescent="0.2">
      <c r="B10" s="43"/>
      <c r="C10" s="43"/>
      <c r="D10" s="43"/>
      <c r="E10" s="57"/>
      <c r="F10" s="52"/>
      <c r="G10" s="50"/>
      <c r="H10" s="52"/>
    </row>
    <row r="11" spans="2:8" ht="24" customHeight="1" x14ac:dyDescent="0.2">
      <c r="B11" s="43"/>
      <c r="C11" s="43"/>
      <c r="D11" s="43"/>
      <c r="E11" s="57"/>
      <c r="F11" s="52"/>
      <c r="G11" s="50"/>
      <c r="H11" s="52"/>
    </row>
    <row r="12" spans="2:8" x14ac:dyDescent="0.2">
      <c r="B12" s="43"/>
      <c r="C12" s="43"/>
      <c r="D12" s="43"/>
      <c r="E12" s="57"/>
      <c r="F12" s="52"/>
      <c r="G12" s="50"/>
      <c r="H12" s="52"/>
    </row>
    <row r="13" spans="2:8" x14ac:dyDescent="0.2">
      <c r="B13" s="43"/>
      <c r="C13" s="43"/>
      <c r="D13" s="43"/>
      <c r="E13" s="57"/>
      <c r="F13" s="52"/>
      <c r="G13" s="50"/>
      <c r="H13" s="52"/>
    </row>
    <row r="14" spans="2:8" x14ac:dyDescent="0.2">
      <c r="B14" s="43"/>
      <c r="C14" s="43"/>
      <c r="D14" s="43"/>
      <c r="E14" s="57"/>
      <c r="F14" s="52"/>
      <c r="G14" s="50"/>
      <c r="H14" s="52"/>
    </row>
    <row r="15" spans="2:8" x14ac:dyDescent="0.2">
      <c r="B15" s="43"/>
      <c r="C15" s="43"/>
      <c r="D15" s="43"/>
      <c r="E15" s="57"/>
      <c r="F15" s="52"/>
      <c r="G15" s="50"/>
      <c r="H15" s="52"/>
    </row>
    <row r="16" spans="2:8" x14ac:dyDescent="0.2">
      <c r="B16" s="43"/>
      <c r="C16" s="43"/>
      <c r="D16" s="43"/>
      <c r="E16" s="57"/>
      <c r="F16" s="52"/>
      <c r="G16" s="50"/>
      <c r="H16" s="52"/>
    </row>
    <row r="17" spans="2:8" x14ac:dyDescent="0.2">
      <c r="B17" s="43"/>
      <c r="C17" s="43"/>
      <c r="D17" s="43"/>
      <c r="E17" s="57"/>
      <c r="F17" s="52"/>
      <c r="G17" s="50"/>
      <c r="H17" s="52"/>
    </row>
    <row r="18" spans="2:8" x14ac:dyDescent="0.2">
      <c r="B18" s="43"/>
      <c r="C18" s="43"/>
      <c r="D18" s="43"/>
      <c r="E18" s="57"/>
      <c r="F18" s="52"/>
      <c r="G18" s="50"/>
      <c r="H18" s="52"/>
    </row>
    <row r="19" spans="2:8" x14ac:dyDescent="0.2">
      <c r="B19" s="43"/>
      <c r="C19" s="43"/>
      <c r="D19" s="43"/>
      <c r="E19" s="57"/>
      <c r="F19" s="52"/>
      <c r="G19" s="50"/>
      <c r="H19" s="52"/>
    </row>
    <row r="20" spans="2:8" x14ac:dyDescent="0.2">
      <c r="B20" s="43"/>
      <c r="C20" s="43"/>
      <c r="D20" s="43"/>
      <c r="E20" s="57"/>
      <c r="F20" s="52"/>
      <c r="G20" s="50"/>
      <c r="H20" s="52"/>
    </row>
    <row r="21" spans="2:8" x14ac:dyDescent="0.2">
      <c r="B21" s="43"/>
      <c r="C21" s="43"/>
      <c r="D21" s="43"/>
      <c r="E21" s="57"/>
      <c r="F21" s="52"/>
      <c r="G21" s="50"/>
      <c r="H21" s="52"/>
    </row>
    <row r="22" spans="2:8" x14ac:dyDescent="0.2">
      <c r="B22" s="43"/>
      <c r="C22" s="43"/>
      <c r="D22" s="43"/>
      <c r="E22" s="57"/>
      <c r="F22" s="52"/>
      <c r="G22" s="50"/>
      <c r="H22" s="52"/>
    </row>
    <row r="23" spans="2:8" x14ac:dyDescent="0.2">
      <c r="B23" s="43"/>
      <c r="C23" s="43"/>
      <c r="D23" s="43"/>
      <c r="E23" s="57"/>
      <c r="F23" s="52"/>
      <c r="G23" s="50"/>
      <c r="H23" s="52"/>
    </row>
    <row r="24" spans="2:8" x14ac:dyDescent="0.2">
      <c r="B24" s="43"/>
      <c r="C24" s="43"/>
      <c r="D24" s="43"/>
      <c r="E24" s="57"/>
      <c r="F24" s="52"/>
      <c r="G24" s="50"/>
      <c r="H24" s="52"/>
    </row>
    <row r="25" spans="2:8" x14ac:dyDescent="0.2">
      <c r="B25" s="43"/>
      <c r="C25" s="43"/>
      <c r="D25" s="43"/>
      <c r="E25" s="57"/>
      <c r="F25" s="52"/>
      <c r="G25" s="50"/>
      <c r="H25" s="52"/>
    </row>
    <row r="26" spans="2:8" x14ac:dyDescent="0.2">
      <c r="B26" s="43"/>
      <c r="C26" s="43"/>
      <c r="D26" s="43"/>
      <c r="E26" s="57"/>
      <c r="F26" s="52"/>
      <c r="G26" s="50"/>
      <c r="H26" s="52"/>
    </row>
    <row r="27" spans="2:8" x14ac:dyDescent="0.2">
      <c r="B27" s="43"/>
      <c r="C27" s="43"/>
      <c r="D27" s="43"/>
      <c r="E27" s="57"/>
      <c r="F27" s="52"/>
      <c r="G27" s="50"/>
      <c r="H27" s="52"/>
    </row>
    <row r="28" spans="2:8" x14ac:dyDescent="0.2">
      <c r="B28" s="43"/>
      <c r="C28" s="43"/>
      <c r="D28" s="43"/>
      <c r="E28" s="57"/>
      <c r="F28" s="52"/>
      <c r="G28" s="50"/>
      <c r="H28" s="52"/>
    </row>
    <row r="29" spans="2:8" x14ac:dyDescent="0.2">
      <c r="B29" s="43"/>
      <c r="C29" s="43"/>
      <c r="D29" s="43"/>
      <c r="E29" s="57"/>
      <c r="F29" s="52"/>
      <c r="G29" s="50"/>
      <c r="H29" s="52"/>
    </row>
    <row r="30" spans="2:8" x14ac:dyDescent="0.2">
      <c r="B30" s="43"/>
      <c r="C30" s="43"/>
      <c r="D30" s="43"/>
      <c r="E30" s="57"/>
      <c r="F30" s="52"/>
      <c r="G30" s="50"/>
      <c r="H30" s="52"/>
    </row>
    <row r="31" spans="2:8" x14ac:dyDescent="0.2">
      <c r="B31" s="43"/>
      <c r="C31" s="43"/>
      <c r="D31" s="43"/>
      <c r="E31" s="57"/>
      <c r="F31" s="52"/>
      <c r="G31" s="50"/>
      <c r="H31" s="52"/>
    </row>
    <row r="32" spans="2:8" x14ac:dyDescent="0.2">
      <c r="B32" s="43"/>
      <c r="C32" s="43"/>
      <c r="D32" s="43"/>
      <c r="E32" s="57"/>
      <c r="F32" s="52"/>
      <c r="G32" s="50"/>
      <c r="H32" s="52"/>
    </row>
    <row r="33" spans="2:8" x14ac:dyDescent="0.2">
      <c r="B33" s="43"/>
      <c r="C33" s="43"/>
      <c r="D33" s="43"/>
      <c r="E33" s="57"/>
      <c r="F33" s="52"/>
      <c r="G33" s="50"/>
      <c r="H33" s="52"/>
    </row>
    <row r="34" spans="2:8" x14ac:dyDescent="0.2">
      <c r="B34" s="43"/>
      <c r="C34" s="43"/>
      <c r="D34" s="43"/>
      <c r="E34" s="57"/>
      <c r="F34" s="52"/>
      <c r="G34" s="50"/>
      <c r="H34" s="52"/>
    </row>
    <row r="35" spans="2:8" x14ac:dyDescent="0.2">
      <c r="B35" s="43"/>
      <c r="C35" s="43"/>
      <c r="D35" s="43"/>
      <c r="E35" s="57"/>
      <c r="F35" s="52"/>
      <c r="G35" s="50"/>
      <c r="H35" s="52"/>
    </row>
    <row r="36" spans="2:8" x14ac:dyDescent="0.2">
      <c r="B36" s="43"/>
      <c r="C36" s="43"/>
      <c r="D36" s="43"/>
      <c r="E36" s="57"/>
      <c r="F36" s="52"/>
      <c r="G36" s="50"/>
      <c r="H36" s="52"/>
    </row>
  </sheetData>
  <autoFilter ref="B1:H36" xr:uid="{9D0FE4D5-D96A-4910-B635-196B3F864782}"/>
  <phoneticPr fontId="2"/>
  <pageMargins left="0.78700000000000003" right="0.78700000000000003" top="0.98399999999999999" bottom="0.98399999999999999" header="0.51200000000000001" footer="0.51200000000000001"/>
  <pageSetup paperSize="9" scale="77" orientation="portrait" verticalDpi="300" r:id="rId1"/>
  <headerFooter alignWithMargins="0">
    <oddHeader>&amp;L&amp;F&amp;C&amp;A&amp;R&amp;D</oddHeader>
    <oddFooter>&amp;LCONFIDENTIAL&amp;C株式会社 ISIDインターテクノロジー&amp;R&amp;P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3AC18-75E0-4E2B-895D-1F02F98F1D64}">
  <sheetPr codeName="Sheet3"/>
  <dimension ref="A1:I4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9" defaultRowHeight="12" x14ac:dyDescent="0.2"/>
  <cols>
    <col min="1" max="1" width="20.36328125" style="1" customWidth="1"/>
    <col min="2" max="2" width="2.90625" style="1" customWidth="1"/>
    <col min="3" max="3" width="11.08984375" style="1" customWidth="1"/>
    <col min="4" max="4" width="22.08984375" style="1" customWidth="1"/>
    <col min="5" max="5" width="41.08984375" style="1" customWidth="1"/>
    <col min="6" max="6" width="17.6328125" style="58" customWidth="1"/>
    <col min="7" max="7" width="10" style="53" customWidth="1"/>
    <col min="8" max="8" width="12" style="51" customWidth="1"/>
    <col min="9" max="9" width="8.08984375" style="53" customWidth="1"/>
    <col min="10" max="16384" width="9" style="1"/>
  </cols>
  <sheetData>
    <row r="1" spans="1:9" x14ac:dyDescent="0.2">
      <c r="A1" s="55" t="s">
        <v>25</v>
      </c>
      <c r="C1" s="25" t="s">
        <v>30</v>
      </c>
      <c r="D1" s="25" t="s">
        <v>15</v>
      </c>
      <c r="E1" s="25" t="s">
        <v>4</v>
      </c>
      <c r="F1" s="54" t="s">
        <v>26</v>
      </c>
      <c r="G1" s="54" t="s">
        <v>27</v>
      </c>
      <c r="H1" s="49" t="s">
        <v>18</v>
      </c>
      <c r="I1" s="54" t="s">
        <v>19</v>
      </c>
    </row>
    <row r="2" spans="1:9" x14ac:dyDescent="0.2">
      <c r="A2" s="56" t="s">
        <v>32</v>
      </c>
      <c r="C2" s="43"/>
      <c r="D2" s="43"/>
      <c r="E2" s="43"/>
      <c r="F2" s="57"/>
      <c r="G2" s="52"/>
      <c r="H2" s="50"/>
      <c r="I2" s="52"/>
    </row>
    <row r="3" spans="1:9" x14ac:dyDescent="0.2">
      <c r="C3" s="43"/>
      <c r="D3" s="43"/>
      <c r="E3" s="43"/>
      <c r="F3" s="57"/>
      <c r="G3" s="52"/>
      <c r="H3" s="50"/>
      <c r="I3" s="52"/>
    </row>
    <row r="4" spans="1:9" x14ac:dyDescent="0.2">
      <c r="C4" s="43"/>
      <c r="D4" s="43"/>
      <c r="E4" s="43"/>
      <c r="F4" s="57"/>
      <c r="G4" s="52"/>
      <c r="H4" s="50"/>
      <c r="I4" s="52"/>
    </row>
    <row r="5" spans="1:9" x14ac:dyDescent="0.2">
      <c r="C5" s="43"/>
      <c r="D5" s="43"/>
      <c r="E5" s="43"/>
      <c r="F5" s="57"/>
      <c r="G5" s="52"/>
      <c r="H5" s="50"/>
      <c r="I5" s="52"/>
    </row>
    <row r="6" spans="1:9" x14ac:dyDescent="0.2">
      <c r="C6" s="43"/>
      <c r="D6" s="43"/>
      <c r="E6" s="43"/>
      <c r="F6" s="57"/>
      <c r="G6" s="52"/>
      <c r="H6" s="50"/>
      <c r="I6" s="52"/>
    </row>
    <row r="7" spans="1:9" x14ac:dyDescent="0.2">
      <c r="C7" s="43"/>
      <c r="D7" s="43"/>
      <c r="E7" s="43"/>
      <c r="F7" s="57"/>
      <c r="G7" s="52"/>
      <c r="H7" s="50"/>
      <c r="I7" s="52"/>
    </row>
    <row r="8" spans="1:9" x14ac:dyDescent="0.2">
      <c r="C8" s="43"/>
      <c r="D8" s="43"/>
      <c r="E8" s="43"/>
      <c r="F8" s="57"/>
      <c r="G8" s="52"/>
      <c r="H8" s="50"/>
      <c r="I8" s="52"/>
    </row>
    <row r="9" spans="1:9" x14ac:dyDescent="0.2">
      <c r="C9" s="43"/>
      <c r="D9" s="43"/>
      <c r="E9" s="43"/>
      <c r="F9" s="57"/>
      <c r="G9" s="52"/>
      <c r="H9" s="50"/>
      <c r="I9" s="52"/>
    </row>
    <row r="10" spans="1:9" x14ac:dyDescent="0.2">
      <c r="C10" s="43"/>
      <c r="D10" s="43"/>
      <c r="E10" s="43"/>
      <c r="F10" s="57"/>
      <c r="G10" s="52"/>
      <c r="H10" s="50"/>
      <c r="I10" s="52"/>
    </row>
    <row r="11" spans="1:9" x14ac:dyDescent="0.2">
      <c r="C11" s="43"/>
      <c r="D11" s="43"/>
      <c r="E11" s="43"/>
      <c r="F11" s="57"/>
      <c r="G11" s="52"/>
      <c r="H11" s="50"/>
      <c r="I11" s="52"/>
    </row>
    <row r="12" spans="1:9" x14ac:dyDescent="0.2">
      <c r="C12" s="43"/>
      <c r="D12" s="43"/>
      <c r="E12" s="43"/>
      <c r="F12" s="57"/>
      <c r="G12" s="52"/>
      <c r="H12" s="50"/>
      <c r="I12" s="52"/>
    </row>
    <row r="13" spans="1:9" x14ac:dyDescent="0.2">
      <c r="C13" s="43"/>
      <c r="D13" s="43"/>
      <c r="E13" s="43"/>
      <c r="F13" s="57"/>
      <c r="G13" s="52"/>
      <c r="H13" s="50"/>
      <c r="I13" s="52"/>
    </row>
    <row r="14" spans="1:9" x14ac:dyDescent="0.2">
      <c r="C14" s="43"/>
      <c r="D14" s="43"/>
      <c r="E14" s="43"/>
      <c r="F14" s="57"/>
      <c r="G14" s="52"/>
      <c r="H14" s="50"/>
      <c r="I14" s="52"/>
    </row>
    <row r="15" spans="1:9" x14ac:dyDescent="0.2">
      <c r="C15" s="43"/>
      <c r="D15" s="43"/>
      <c r="E15" s="43"/>
      <c r="F15" s="57"/>
      <c r="G15" s="52"/>
      <c r="H15" s="50"/>
      <c r="I15" s="52"/>
    </row>
    <row r="16" spans="1:9" x14ac:dyDescent="0.2">
      <c r="C16" s="43"/>
      <c r="D16" s="43"/>
      <c r="E16" s="43"/>
      <c r="F16" s="57"/>
      <c r="G16" s="52"/>
      <c r="H16" s="50"/>
      <c r="I16" s="52"/>
    </row>
    <row r="17" spans="3:9" x14ac:dyDescent="0.2">
      <c r="C17" s="43"/>
      <c r="D17" s="43"/>
      <c r="E17" s="43"/>
      <c r="F17" s="57"/>
      <c r="G17" s="52"/>
      <c r="H17" s="50"/>
      <c r="I17" s="52"/>
    </row>
    <row r="18" spans="3:9" x14ac:dyDescent="0.2">
      <c r="C18" s="43"/>
      <c r="D18" s="43"/>
      <c r="E18" s="43"/>
      <c r="F18" s="57"/>
      <c r="G18" s="52"/>
      <c r="H18" s="50"/>
      <c r="I18" s="52"/>
    </row>
    <row r="19" spans="3:9" x14ac:dyDescent="0.2">
      <c r="C19" s="43"/>
      <c r="D19" s="43"/>
      <c r="E19" s="43"/>
      <c r="F19" s="57"/>
      <c r="G19" s="52"/>
      <c r="H19" s="50"/>
      <c r="I19" s="52"/>
    </row>
    <row r="20" spans="3:9" x14ac:dyDescent="0.2">
      <c r="C20" s="43"/>
      <c r="D20" s="43"/>
      <c r="E20" s="43"/>
      <c r="F20" s="57"/>
      <c r="G20" s="52"/>
      <c r="H20" s="50"/>
      <c r="I20" s="52"/>
    </row>
    <row r="21" spans="3:9" x14ac:dyDescent="0.2">
      <c r="C21" s="43"/>
      <c r="D21" s="43"/>
      <c r="E21" s="43"/>
      <c r="F21" s="57"/>
      <c r="G21" s="52"/>
      <c r="H21" s="50"/>
      <c r="I21" s="52"/>
    </row>
    <row r="22" spans="3:9" x14ac:dyDescent="0.2">
      <c r="C22" s="43"/>
      <c r="D22" s="43"/>
      <c r="E22" s="43"/>
      <c r="F22" s="57"/>
      <c r="G22" s="52"/>
      <c r="H22" s="50"/>
      <c r="I22" s="52"/>
    </row>
    <row r="23" spans="3:9" x14ac:dyDescent="0.2">
      <c r="C23" s="43"/>
      <c r="D23" s="43"/>
      <c r="E23" s="43"/>
      <c r="F23" s="57"/>
      <c r="G23" s="52"/>
      <c r="H23" s="50"/>
      <c r="I23" s="52"/>
    </row>
    <row r="24" spans="3:9" x14ac:dyDescent="0.2">
      <c r="C24" s="43"/>
      <c r="D24" s="43"/>
      <c r="E24" s="43"/>
      <c r="F24" s="57"/>
      <c r="G24" s="52"/>
      <c r="H24" s="50"/>
      <c r="I24" s="52"/>
    </row>
    <row r="25" spans="3:9" x14ac:dyDescent="0.2">
      <c r="C25" s="43"/>
      <c r="D25" s="43"/>
      <c r="E25" s="43"/>
      <c r="F25" s="57"/>
      <c r="G25" s="52"/>
      <c r="H25" s="50"/>
      <c r="I25" s="52"/>
    </row>
    <row r="26" spans="3:9" x14ac:dyDescent="0.2">
      <c r="C26" s="43"/>
      <c r="D26" s="43"/>
      <c r="E26" s="43"/>
      <c r="F26" s="57"/>
      <c r="G26" s="52"/>
      <c r="H26" s="50"/>
      <c r="I26" s="52"/>
    </row>
    <row r="27" spans="3:9" x14ac:dyDescent="0.2">
      <c r="C27" s="43"/>
      <c r="D27" s="43"/>
      <c r="E27" s="43"/>
      <c r="F27" s="57"/>
      <c r="G27" s="52"/>
      <c r="H27" s="50"/>
      <c r="I27" s="52"/>
    </row>
    <row r="28" spans="3:9" x14ac:dyDescent="0.2">
      <c r="C28" s="43"/>
      <c r="D28" s="43"/>
      <c r="E28" s="43"/>
      <c r="F28" s="57"/>
      <c r="G28" s="52"/>
      <c r="H28" s="50"/>
      <c r="I28" s="52"/>
    </row>
    <row r="29" spans="3:9" x14ac:dyDescent="0.2">
      <c r="C29" s="43"/>
      <c r="D29" s="43"/>
      <c r="E29" s="43"/>
      <c r="F29" s="57"/>
      <c r="G29" s="52"/>
      <c r="H29" s="50"/>
      <c r="I29" s="52"/>
    </row>
    <row r="30" spans="3:9" x14ac:dyDescent="0.2">
      <c r="C30" s="43"/>
      <c r="D30" s="43"/>
      <c r="E30" s="43"/>
      <c r="F30" s="57"/>
      <c r="G30" s="52"/>
      <c r="H30" s="50"/>
      <c r="I30" s="52"/>
    </row>
    <row r="31" spans="3:9" x14ac:dyDescent="0.2">
      <c r="C31" s="43"/>
      <c r="D31" s="43"/>
      <c r="E31" s="43"/>
      <c r="F31" s="57"/>
      <c r="G31" s="52"/>
      <c r="H31" s="50"/>
      <c r="I31" s="52"/>
    </row>
    <row r="32" spans="3:9" x14ac:dyDescent="0.2">
      <c r="C32" s="43"/>
      <c r="D32" s="43"/>
      <c r="E32" s="43"/>
      <c r="F32" s="57"/>
      <c r="G32" s="52"/>
      <c r="H32" s="50"/>
      <c r="I32" s="52"/>
    </row>
    <row r="33" spans="3:9" x14ac:dyDescent="0.2">
      <c r="C33" s="43"/>
      <c r="D33" s="43"/>
      <c r="E33" s="43"/>
      <c r="F33" s="57"/>
      <c r="G33" s="52"/>
      <c r="H33" s="50"/>
      <c r="I33" s="52"/>
    </row>
    <row r="34" spans="3:9" x14ac:dyDescent="0.2">
      <c r="C34" s="43"/>
      <c r="D34" s="43"/>
      <c r="E34" s="43"/>
      <c r="F34" s="57"/>
      <c r="G34" s="52"/>
      <c r="H34" s="50"/>
      <c r="I34" s="52"/>
    </row>
    <row r="35" spans="3:9" x14ac:dyDescent="0.2">
      <c r="C35" s="43"/>
      <c r="D35" s="43"/>
      <c r="E35" s="43"/>
      <c r="F35" s="57"/>
      <c r="G35" s="52"/>
      <c r="H35" s="50"/>
      <c r="I35" s="52"/>
    </row>
    <row r="36" spans="3:9" x14ac:dyDescent="0.2">
      <c r="C36" s="43"/>
      <c r="D36" s="43"/>
      <c r="E36" s="43"/>
      <c r="F36" s="57"/>
      <c r="G36" s="52"/>
      <c r="H36" s="50"/>
      <c r="I36" s="52"/>
    </row>
    <row r="37" spans="3:9" x14ac:dyDescent="0.2">
      <c r="C37" s="43"/>
      <c r="D37" s="43"/>
      <c r="E37" s="43"/>
      <c r="F37" s="57"/>
      <c r="G37" s="52"/>
      <c r="H37" s="50"/>
      <c r="I37" s="52"/>
    </row>
    <row r="38" spans="3:9" x14ac:dyDescent="0.2">
      <c r="C38" s="43"/>
      <c r="D38" s="43"/>
      <c r="E38" s="43"/>
      <c r="F38" s="57"/>
      <c r="G38" s="52"/>
      <c r="H38" s="50"/>
      <c r="I38" s="52"/>
    </row>
    <row r="39" spans="3:9" x14ac:dyDescent="0.2">
      <c r="C39" s="43"/>
      <c r="D39" s="43"/>
      <c r="E39" s="43"/>
      <c r="F39" s="57"/>
      <c r="G39" s="52"/>
      <c r="H39" s="50"/>
      <c r="I39" s="52"/>
    </row>
    <row r="40" spans="3:9" x14ac:dyDescent="0.2">
      <c r="C40" s="43"/>
      <c r="D40" s="43"/>
      <c r="E40" s="43"/>
      <c r="F40" s="57"/>
      <c r="G40" s="52"/>
      <c r="H40" s="50"/>
      <c r="I40" s="52"/>
    </row>
  </sheetData>
  <autoFilter ref="C1:I40" xr:uid="{550F775B-78D8-4C70-AC66-EF511FF6C5D8}"/>
  <phoneticPr fontId="2"/>
  <pageMargins left="0.78700000000000003" right="0.78700000000000003" top="0.98399999999999999" bottom="0.98399999999999999" header="0.51200000000000001" footer="0.51200000000000001"/>
  <pageSetup paperSize="9" orientation="landscape" verticalDpi="0" r:id="rId1"/>
  <headerFooter alignWithMargins="0">
    <oddHeader>&amp;L&amp;F&amp;C&amp;A&amp;R&amp;D</oddHeader>
    <oddFooter>&amp;LCONFIDENTIAL&amp;C株式会社 ISIDインターテクノロジー&amp;R&amp;P</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8AE6C-A3A7-44AD-B98F-28059C38734C}">
  <sheetPr codeName="Sheet2"/>
  <dimension ref="A1:K181"/>
  <sheetViews>
    <sheetView zoomScaleNormal="100" workbookViewId="0">
      <pane ySplit="7" topLeftCell="A8" activePane="bottomLeft" state="frozen"/>
      <selection pane="bottomLeft" activeCell="A8" sqref="A8"/>
    </sheetView>
  </sheetViews>
  <sheetFormatPr defaultColWidth="9" defaultRowHeight="12" x14ac:dyDescent="0.2"/>
  <cols>
    <col min="1" max="1" width="17" style="1" customWidth="1"/>
    <col min="2" max="2" width="13.36328125" style="1" customWidth="1"/>
    <col min="3" max="3" width="8.7265625" style="1" customWidth="1"/>
    <col min="4" max="4" width="11.453125" style="1" customWidth="1"/>
    <col min="5" max="5" width="10.6328125" style="1" customWidth="1"/>
    <col min="6" max="6" width="9" style="1"/>
    <col min="7" max="7" width="6.90625" style="1" customWidth="1"/>
    <col min="8" max="8" width="12.90625" style="1" customWidth="1"/>
    <col min="9" max="9" width="10.26953125" style="1" customWidth="1"/>
    <col min="10" max="10" width="12.7265625" style="1" hidden="1" customWidth="1"/>
    <col min="11" max="16384" width="9" style="1"/>
  </cols>
  <sheetData>
    <row r="1" spans="1:11" s="61" customFormat="1" ht="30" customHeight="1" thickBot="1" x14ac:dyDescent="0.25"/>
    <row r="2" spans="1:11" s="62" customFormat="1" ht="26.25" customHeight="1" x14ac:dyDescent="0.25">
      <c r="A2" s="64" t="s">
        <v>34</v>
      </c>
      <c r="D2" s="108" t="s">
        <v>169</v>
      </c>
      <c r="E2" s="108"/>
      <c r="G2" s="109" t="s">
        <v>210</v>
      </c>
      <c r="H2" s="109"/>
      <c r="I2" s="109" t="s">
        <v>165</v>
      </c>
      <c r="J2" s="109"/>
      <c r="K2" s="109"/>
    </row>
    <row r="3" spans="1:11" ht="20.25" customHeight="1" x14ac:dyDescent="0.25">
      <c r="A3" s="2" t="s">
        <v>12</v>
      </c>
    </row>
    <row r="4" spans="1:11" x14ac:dyDescent="0.2">
      <c r="A4" s="38" t="s">
        <v>4</v>
      </c>
      <c r="B4" s="110" t="s">
        <v>55</v>
      </c>
      <c r="C4" s="111"/>
      <c r="D4" s="111"/>
      <c r="E4" s="111"/>
      <c r="F4" s="112"/>
      <c r="G4" s="83" t="s">
        <v>33</v>
      </c>
      <c r="H4" s="69" t="s">
        <v>51</v>
      </c>
    </row>
    <row r="5" spans="1:11" x14ac:dyDescent="0.2">
      <c r="A5" s="37" t="s">
        <v>37</v>
      </c>
      <c r="B5" s="4" t="s">
        <v>167</v>
      </c>
      <c r="C5" s="4"/>
      <c r="D5" s="4"/>
      <c r="E5" s="8"/>
      <c r="F5" s="8"/>
      <c r="G5" s="8"/>
      <c r="H5" s="9"/>
    </row>
    <row r="6" spans="1:11" x14ac:dyDescent="0.2">
      <c r="A6" s="37" t="s">
        <v>38</v>
      </c>
      <c r="B6" s="4" t="s">
        <v>168</v>
      </c>
      <c r="C6" s="48" t="s">
        <v>39</v>
      </c>
      <c r="D6" s="3" t="s">
        <v>22</v>
      </c>
      <c r="E6" s="60"/>
      <c r="F6" s="4"/>
      <c r="G6" s="59"/>
      <c r="H6" s="5"/>
      <c r="J6" s="1" t="s">
        <v>20</v>
      </c>
    </row>
    <row r="7" spans="1:11" x14ac:dyDescent="0.2">
      <c r="J7" s="1" t="s">
        <v>22</v>
      </c>
    </row>
    <row r="8" spans="1:11" x14ac:dyDescent="0.2">
      <c r="A8" s="21" t="s">
        <v>0</v>
      </c>
      <c r="B8" s="22"/>
      <c r="C8" s="23"/>
      <c r="D8" s="23"/>
      <c r="E8" s="23"/>
      <c r="F8" s="23"/>
      <c r="G8" s="22"/>
      <c r="H8" s="24"/>
      <c r="J8" s="1" t="s">
        <v>21</v>
      </c>
    </row>
    <row r="9" spans="1:11" x14ac:dyDescent="0.2">
      <c r="A9" s="17" t="s">
        <v>9</v>
      </c>
      <c r="B9" s="18"/>
      <c r="C9" s="18"/>
      <c r="D9" s="18"/>
      <c r="E9" s="18"/>
      <c r="F9" s="18"/>
      <c r="G9" s="18"/>
      <c r="H9" s="20"/>
      <c r="J9" s="1" t="s">
        <v>23</v>
      </c>
    </row>
    <row r="10" spans="1:11" x14ac:dyDescent="0.2">
      <c r="A10" s="25" t="s">
        <v>1</v>
      </c>
      <c r="B10" s="26" t="s">
        <v>8</v>
      </c>
      <c r="C10" s="26" t="s">
        <v>11</v>
      </c>
      <c r="D10" s="27"/>
      <c r="E10" s="27"/>
      <c r="F10" s="28"/>
      <c r="G10" s="28" t="s">
        <v>2</v>
      </c>
      <c r="H10" s="25" t="s">
        <v>3</v>
      </c>
    </row>
    <row r="11" spans="1:11" x14ac:dyDescent="0.2">
      <c r="A11" s="16"/>
      <c r="B11" s="13"/>
      <c r="C11" s="13"/>
      <c r="D11" s="14"/>
      <c r="E11" s="14"/>
      <c r="F11" s="15"/>
      <c r="G11" s="44"/>
      <c r="H11" s="16"/>
    </row>
    <row r="12" spans="1:11" x14ac:dyDescent="0.2">
      <c r="A12" s="6"/>
      <c r="B12" s="3"/>
      <c r="C12" s="3"/>
      <c r="D12" s="4"/>
      <c r="E12" s="4"/>
      <c r="F12" s="5"/>
      <c r="G12" s="45"/>
      <c r="H12" s="6"/>
    </row>
    <row r="13" spans="1:11" x14ac:dyDescent="0.2">
      <c r="A13" s="6"/>
      <c r="B13" s="3"/>
      <c r="C13" s="3"/>
      <c r="D13" s="4"/>
      <c r="E13" s="4"/>
      <c r="F13" s="5"/>
      <c r="G13" s="45"/>
      <c r="H13" s="6"/>
    </row>
    <row r="14" spans="1:11" x14ac:dyDescent="0.2">
      <c r="A14" s="6"/>
      <c r="B14" s="3"/>
      <c r="C14" s="3"/>
      <c r="D14" s="4"/>
      <c r="E14" s="4"/>
      <c r="F14" s="5"/>
      <c r="G14" s="45"/>
      <c r="H14" s="6"/>
    </row>
    <row r="15" spans="1:11" x14ac:dyDescent="0.2">
      <c r="A15" s="6"/>
      <c r="B15" s="3"/>
      <c r="C15" s="3"/>
      <c r="D15" s="4"/>
      <c r="E15" s="4"/>
      <c r="F15" s="5"/>
      <c r="G15" s="45"/>
      <c r="H15" s="6"/>
    </row>
    <row r="16" spans="1:11" x14ac:dyDescent="0.2">
      <c r="A16" s="6"/>
      <c r="B16" s="3"/>
      <c r="C16" s="3"/>
      <c r="D16" s="4"/>
      <c r="E16" s="4"/>
      <c r="F16" s="5"/>
      <c r="G16" s="45"/>
      <c r="H16" s="6"/>
    </row>
    <row r="17" spans="1:8" x14ac:dyDescent="0.2">
      <c r="A17" s="6"/>
      <c r="B17" s="3"/>
      <c r="C17" s="3"/>
      <c r="D17" s="4"/>
      <c r="E17" s="4"/>
      <c r="F17" s="5"/>
      <c r="G17" s="45"/>
      <c r="H17" s="6"/>
    </row>
    <row r="18" spans="1:8" x14ac:dyDescent="0.2">
      <c r="A18" s="6"/>
      <c r="B18" s="3"/>
      <c r="C18" s="3"/>
      <c r="D18" s="4"/>
      <c r="E18" s="4"/>
      <c r="F18" s="5"/>
      <c r="G18" s="45"/>
      <c r="H18" s="6"/>
    </row>
    <row r="19" spans="1:8" x14ac:dyDescent="0.2">
      <c r="A19" s="6"/>
      <c r="B19" s="3"/>
      <c r="C19" s="3"/>
      <c r="D19" s="4"/>
      <c r="E19" s="4"/>
      <c r="F19" s="5"/>
      <c r="G19" s="45"/>
      <c r="H19" s="6"/>
    </row>
    <row r="20" spans="1:8" x14ac:dyDescent="0.2">
      <c r="A20" s="6"/>
      <c r="B20" s="3"/>
      <c r="C20" s="3"/>
      <c r="D20" s="4"/>
      <c r="E20" s="4"/>
      <c r="F20" s="5"/>
      <c r="G20" s="45"/>
      <c r="H20" s="6"/>
    </row>
    <row r="21" spans="1:8" x14ac:dyDescent="0.2">
      <c r="A21" s="17" t="s">
        <v>10</v>
      </c>
      <c r="B21" s="18"/>
      <c r="C21" s="19"/>
      <c r="D21" s="19"/>
      <c r="E21" s="19"/>
      <c r="F21" s="19"/>
      <c r="G21" s="19"/>
      <c r="H21" s="42"/>
    </row>
    <row r="22" spans="1:8" x14ac:dyDescent="0.2">
      <c r="A22" s="25" t="s">
        <v>1</v>
      </c>
      <c r="B22" s="26" t="s">
        <v>8</v>
      </c>
      <c r="C22" s="39" t="s">
        <v>11</v>
      </c>
      <c r="D22" s="40"/>
      <c r="E22" s="40"/>
      <c r="F22" s="40"/>
      <c r="G22" s="39" t="s">
        <v>3</v>
      </c>
      <c r="H22" s="41"/>
    </row>
    <row r="23" spans="1:8" x14ac:dyDescent="0.2">
      <c r="A23" s="16"/>
      <c r="B23" s="13"/>
      <c r="C23" s="3"/>
      <c r="D23" s="4"/>
      <c r="E23" s="4"/>
      <c r="F23" s="4"/>
      <c r="G23" s="3"/>
      <c r="H23" s="5"/>
    </row>
    <row r="24" spans="1:8" x14ac:dyDescent="0.2">
      <c r="A24" s="16"/>
      <c r="B24" s="13"/>
      <c r="C24" s="3"/>
      <c r="D24" s="4"/>
      <c r="E24" s="4"/>
      <c r="F24" s="4"/>
      <c r="G24" s="3"/>
      <c r="H24" s="5"/>
    </row>
    <row r="25" spans="1:8" x14ac:dyDescent="0.2">
      <c r="A25" s="16"/>
      <c r="B25" s="13"/>
      <c r="C25" s="3"/>
      <c r="D25" s="4"/>
      <c r="E25" s="4"/>
      <c r="F25" s="4"/>
      <c r="G25" s="3"/>
      <c r="H25" s="5"/>
    </row>
    <row r="26" spans="1:8" x14ac:dyDescent="0.2">
      <c r="A26" s="16"/>
      <c r="B26" s="13"/>
      <c r="C26" s="3"/>
      <c r="D26" s="4"/>
      <c r="E26" s="4"/>
      <c r="F26" s="4"/>
      <c r="G26" s="3"/>
      <c r="H26" s="5"/>
    </row>
    <row r="27" spans="1:8" x14ac:dyDescent="0.2">
      <c r="A27" s="16"/>
      <c r="B27" s="13"/>
      <c r="C27" s="3"/>
      <c r="D27" s="4"/>
      <c r="E27" s="4"/>
      <c r="F27" s="4"/>
      <c r="G27" s="3"/>
      <c r="H27" s="5"/>
    </row>
    <row r="29" spans="1:8" x14ac:dyDescent="0.2">
      <c r="A29" s="32" t="s">
        <v>17</v>
      </c>
      <c r="B29" s="23"/>
      <c r="C29" s="23"/>
      <c r="D29" s="23"/>
      <c r="E29" s="23"/>
      <c r="F29" s="23"/>
      <c r="G29" s="23"/>
      <c r="H29" s="33"/>
    </row>
    <row r="30" spans="1:8" x14ac:dyDescent="0.2">
      <c r="A30" s="47" t="s">
        <v>35</v>
      </c>
      <c r="B30" s="47"/>
      <c r="C30" s="29" t="s">
        <v>36</v>
      </c>
      <c r="D30" s="30"/>
      <c r="E30" s="30"/>
      <c r="F30" s="30"/>
      <c r="G30" s="30"/>
      <c r="H30" s="31"/>
    </row>
    <row r="31" spans="1:8" x14ac:dyDescent="0.2">
      <c r="A31" s="3"/>
      <c r="B31" s="46"/>
      <c r="C31" s="3"/>
      <c r="D31" s="4"/>
      <c r="E31" s="4"/>
      <c r="F31" s="4"/>
      <c r="G31" s="4"/>
      <c r="H31" s="5"/>
    </row>
    <row r="32" spans="1:8" x14ac:dyDescent="0.2">
      <c r="A32" s="3"/>
      <c r="B32" s="46"/>
      <c r="C32" s="3"/>
      <c r="D32" s="4"/>
      <c r="E32" s="4"/>
      <c r="F32" s="4"/>
      <c r="G32" s="4"/>
      <c r="H32" s="5"/>
    </row>
    <row r="33" spans="1:8" x14ac:dyDescent="0.2">
      <c r="A33" s="3"/>
      <c r="B33" s="46"/>
      <c r="C33" s="3"/>
      <c r="D33" s="4"/>
      <c r="E33" s="4"/>
      <c r="F33" s="4"/>
      <c r="G33" s="4"/>
      <c r="H33" s="5"/>
    </row>
    <row r="34" spans="1:8" x14ac:dyDescent="0.2">
      <c r="A34" s="3"/>
      <c r="B34" s="46"/>
      <c r="C34" s="3"/>
      <c r="D34" s="4"/>
      <c r="E34" s="4"/>
      <c r="F34" s="4"/>
      <c r="G34" s="4"/>
      <c r="H34" s="5"/>
    </row>
    <row r="35" spans="1:8" x14ac:dyDescent="0.2">
      <c r="A35" s="3"/>
      <c r="B35" s="46"/>
      <c r="C35" s="3"/>
      <c r="D35" s="4"/>
      <c r="E35" s="4"/>
      <c r="F35" s="4"/>
      <c r="G35" s="4"/>
      <c r="H35" s="5"/>
    </row>
    <row r="36" spans="1:8" x14ac:dyDescent="0.2">
      <c r="A36" s="3"/>
      <c r="B36" s="46"/>
      <c r="C36" s="3"/>
      <c r="D36" s="4"/>
      <c r="E36" s="4"/>
      <c r="F36" s="4"/>
      <c r="G36" s="4"/>
      <c r="H36" s="5"/>
    </row>
    <row r="37" spans="1:8" x14ac:dyDescent="0.2">
      <c r="A37" s="3"/>
      <c r="B37" s="46"/>
      <c r="C37" s="3"/>
      <c r="D37" s="4"/>
      <c r="E37" s="4"/>
      <c r="F37" s="4"/>
      <c r="G37" s="4"/>
      <c r="H37" s="5"/>
    </row>
    <row r="38" spans="1:8" x14ac:dyDescent="0.2">
      <c r="A38" s="3"/>
      <c r="B38" s="46"/>
      <c r="C38" s="3"/>
      <c r="D38" s="4"/>
      <c r="E38" s="4"/>
      <c r="F38" s="4"/>
      <c r="G38" s="4"/>
      <c r="H38" s="5"/>
    </row>
    <row r="40" spans="1:8" x14ac:dyDescent="0.2">
      <c r="A40" s="21" t="s">
        <v>13</v>
      </c>
      <c r="B40" s="22"/>
      <c r="C40" s="22"/>
      <c r="D40" s="22"/>
      <c r="E40" s="22"/>
      <c r="F40" s="22"/>
      <c r="G40" s="22"/>
      <c r="H40" s="24"/>
    </row>
    <row r="41" spans="1:8" x14ac:dyDescent="0.2">
      <c r="A41" s="29" t="s">
        <v>5</v>
      </c>
      <c r="B41" s="30"/>
      <c r="C41" s="30"/>
      <c r="D41" s="30"/>
      <c r="E41" s="30"/>
      <c r="F41" s="31"/>
      <c r="G41" s="30" t="s">
        <v>31</v>
      </c>
      <c r="H41" s="31"/>
    </row>
    <row r="42" spans="1:8" x14ac:dyDescent="0.2">
      <c r="A42" s="7"/>
      <c r="B42" s="8"/>
      <c r="C42" s="8"/>
      <c r="D42" s="8"/>
      <c r="E42" s="8"/>
      <c r="F42" s="9"/>
      <c r="G42" s="8"/>
      <c r="H42" s="9"/>
    </row>
    <row r="43" spans="1:8" x14ac:dyDescent="0.2">
      <c r="A43" s="11"/>
      <c r="B43" s="10"/>
      <c r="C43" s="10"/>
      <c r="D43" s="10"/>
      <c r="E43" s="10"/>
      <c r="F43" s="12"/>
      <c r="G43" s="10"/>
      <c r="H43" s="12"/>
    </row>
    <row r="44" spans="1:8" x14ac:dyDescent="0.2">
      <c r="A44" s="11"/>
      <c r="B44" s="10"/>
      <c r="C44" s="10"/>
      <c r="D44" s="10"/>
      <c r="E44" s="10"/>
      <c r="F44" s="12"/>
      <c r="G44" s="10"/>
      <c r="H44" s="12"/>
    </row>
    <row r="45" spans="1:8" x14ac:dyDescent="0.2">
      <c r="A45" s="11"/>
      <c r="B45" s="10"/>
      <c r="C45" s="10"/>
      <c r="D45" s="10"/>
      <c r="E45" s="10"/>
      <c r="F45" s="12"/>
      <c r="G45" s="10"/>
      <c r="H45" s="12"/>
    </row>
    <row r="46" spans="1:8" x14ac:dyDescent="0.2">
      <c r="A46" s="11"/>
      <c r="B46" s="10"/>
      <c r="C46" s="10"/>
      <c r="D46" s="10"/>
      <c r="E46" s="10"/>
      <c r="F46" s="12"/>
      <c r="G46" s="10"/>
      <c r="H46" s="12"/>
    </row>
    <row r="47" spans="1:8" x14ac:dyDescent="0.2">
      <c r="A47" s="11"/>
      <c r="B47" s="10"/>
      <c r="C47" s="10"/>
      <c r="D47" s="10"/>
      <c r="E47" s="10"/>
      <c r="F47" s="12"/>
      <c r="G47" s="10"/>
      <c r="H47" s="12"/>
    </row>
    <row r="48" spans="1:8" x14ac:dyDescent="0.2">
      <c r="A48" s="11"/>
      <c r="B48" s="10"/>
      <c r="C48" s="10"/>
      <c r="D48" s="10"/>
      <c r="E48" s="10"/>
      <c r="F48" s="12"/>
      <c r="G48" s="10"/>
      <c r="H48" s="12"/>
    </row>
    <row r="49" spans="1:8" x14ac:dyDescent="0.2">
      <c r="A49" s="11"/>
      <c r="B49" s="10"/>
      <c r="C49" s="10"/>
      <c r="D49" s="10"/>
      <c r="E49" s="10"/>
      <c r="F49" s="12"/>
      <c r="G49" s="10"/>
      <c r="H49" s="12"/>
    </row>
    <row r="50" spans="1:8" x14ac:dyDescent="0.2">
      <c r="A50" s="11"/>
      <c r="B50" s="10"/>
      <c r="C50" s="10"/>
      <c r="D50" s="10"/>
      <c r="E50" s="10"/>
      <c r="F50" s="12"/>
      <c r="G50" s="10"/>
      <c r="H50" s="12"/>
    </row>
    <row r="51" spans="1:8" x14ac:dyDescent="0.2">
      <c r="A51" s="11"/>
      <c r="B51" s="10"/>
      <c r="C51" s="10"/>
      <c r="D51" s="10"/>
      <c r="E51" s="10"/>
      <c r="F51" s="12"/>
      <c r="G51" s="10"/>
      <c r="H51" s="12"/>
    </row>
    <row r="52" spans="1:8" x14ac:dyDescent="0.2">
      <c r="A52" s="11"/>
      <c r="B52" s="10"/>
      <c r="C52" s="10"/>
      <c r="D52" s="10"/>
      <c r="E52" s="10"/>
      <c r="F52" s="12"/>
      <c r="G52" s="10"/>
      <c r="H52" s="12"/>
    </row>
    <row r="53" spans="1:8" x14ac:dyDescent="0.2">
      <c r="A53" s="11"/>
      <c r="B53" s="10"/>
      <c r="C53" s="10"/>
      <c r="D53" s="10"/>
      <c r="E53" s="10"/>
      <c r="F53" s="12"/>
      <c r="G53" s="10"/>
      <c r="H53" s="12"/>
    </row>
    <row r="54" spans="1:8" x14ac:dyDescent="0.2">
      <c r="A54" s="29" t="s">
        <v>7</v>
      </c>
      <c r="B54" s="30"/>
      <c r="C54" s="30"/>
      <c r="D54" s="30"/>
      <c r="E54" s="30"/>
      <c r="F54" s="31"/>
      <c r="G54" s="30" t="s">
        <v>31</v>
      </c>
      <c r="H54" s="36"/>
    </row>
    <row r="55" spans="1:8" x14ac:dyDescent="0.2">
      <c r="A55" s="7"/>
      <c r="B55" s="8"/>
      <c r="C55" s="8"/>
      <c r="D55" s="8"/>
      <c r="E55" s="8"/>
      <c r="F55" s="9"/>
      <c r="G55" s="8"/>
      <c r="H55" s="12"/>
    </row>
    <row r="56" spans="1:8" x14ac:dyDescent="0.2">
      <c r="A56" s="11"/>
      <c r="B56" s="10"/>
      <c r="C56" s="10"/>
      <c r="D56" s="10"/>
      <c r="E56" s="10"/>
      <c r="F56" s="12"/>
      <c r="G56" s="10"/>
      <c r="H56" s="12"/>
    </row>
    <row r="57" spans="1:8" x14ac:dyDescent="0.2">
      <c r="A57" s="11"/>
      <c r="B57" s="10"/>
      <c r="C57" s="10"/>
      <c r="D57" s="10"/>
      <c r="E57" s="10"/>
      <c r="F57" s="12"/>
      <c r="G57" s="10"/>
      <c r="H57" s="12"/>
    </row>
    <row r="58" spans="1:8" x14ac:dyDescent="0.2">
      <c r="A58" s="11"/>
      <c r="B58" s="10"/>
      <c r="C58" s="10"/>
      <c r="D58" s="10"/>
      <c r="E58" s="10"/>
      <c r="F58" s="12"/>
      <c r="G58" s="10"/>
      <c r="H58" s="12"/>
    </row>
    <row r="59" spans="1:8" x14ac:dyDescent="0.2">
      <c r="A59" s="11"/>
      <c r="B59" s="10"/>
      <c r="C59" s="10"/>
      <c r="D59" s="10"/>
      <c r="E59" s="10"/>
      <c r="F59" s="12"/>
      <c r="G59" s="10"/>
      <c r="H59" s="12"/>
    </row>
    <row r="60" spans="1:8" x14ac:dyDescent="0.2">
      <c r="A60" s="11"/>
      <c r="B60" s="10"/>
      <c r="C60" s="10"/>
      <c r="D60" s="10"/>
      <c r="E60" s="10"/>
      <c r="F60" s="12"/>
      <c r="G60" s="10"/>
      <c r="H60" s="12"/>
    </row>
    <row r="61" spans="1:8" x14ac:dyDescent="0.2">
      <c r="A61" s="11"/>
      <c r="B61" s="10"/>
      <c r="C61" s="10"/>
      <c r="D61" s="10"/>
      <c r="E61" s="10"/>
      <c r="F61" s="12"/>
      <c r="G61" s="10"/>
      <c r="H61" s="12"/>
    </row>
    <row r="62" spans="1:8" x14ac:dyDescent="0.2">
      <c r="A62" s="11"/>
      <c r="B62" s="10"/>
      <c r="C62" s="10"/>
      <c r="D62" s="10"/>
      <c r="E62" s="10"/>
      <c r="F62" s="12"/>
      <c r="G62" s="10"/>
      <c r="H62" s="12"/>
    </row>
    <row r="63" spans="1:8" x14ac:dyDescent="0.2">
      <c r="A63" s="11"/>
      <c r="B63" s="10"/>
      <c r="C63" s="10"/>
      <c r="D63" s="10"/>
      <c r="E63" s="10"/>
      <c r="F63" s="12"/>
      <c r="G63" s="10"/>
      <c r="H63" s="12"/>
    </row>
    <row r="64" spans="1:8" x14ac:dyDescent="0.2">
      <c r="A64" s="11"/>
      <c r="B64" s="10"/>
      <c r="C64" s="10"/>
      <c r="D64" s="10"/>
      <c r="E64" s="10"/>
      <c r="F64" s="12"/>
      <c r="G64" s="10"/>
      <c r="H64" s="12"/>
    </row>
    <row r="65" spans="1:8" x14ac:dyDescent="0.2">
      <c r="A65" s="13"/>
      <c r="B65" s="14"/>
      <c r="C65" s="14"/>
      <c r="D65" s="14"/>
      <c r="E65" s="14"/>
      <c r="F65" s="15"/>
      <c r="G65" s="14"/>
      <c r="H65" s="15"/>
    </row>
    <row r="66" spans="1:8" x14ac:dyDescent="0.2">
      <c r="A66" s="32" t="s">
        <v>14</v>
      </c>
      <c r="B66" s="23"/>
      <c r="C66" s="23"/>
      <c r="D66" s="23"/>
      <c r="E66" s="23"/>
      <c r="F66" s="23"/>
      <c r="G66" s="23"/>
      <c r="H66" s="33"/>
    </row>
    <row r="67" spans="1:8" x14ac:dyDescent="0.2">
      <c r="A67" s="34" t="s">
        <v>6</v>
      </c>
      <c r="B67" s="35"/>
      <c r="C67" s="35"/>
      <c r="D67" s="35"/>
      <c r="E67" s="35"/>
      <c r="F67" s="35"/>
      <c r="G67" s="35"/>
      <c r="H67" s="36"/>
    </row>
    <row r="68" spans="1:8" x14ac:dyDescent="0.2">
      <c r="A68" s="11"/>
      <c r="B68" s="10"/>
      <c r="C68" s="10"/>
      <c r="D68" s="10"/>
      <c r="E68" s="10"/>
      <c r="F68" s="10"/>
      <c r="G68" s="10"/>
      <c r="H68" s="12"/>
    </row>
    <row r="69" spans="1:8" x14ac:dyDescent="0.2">
      <c r="A69" s="11"/>
      <c r="B69" s="10"/>
      <c r="C69" s="10"/>
      <c r="D69" s="10"/>
      <c r="E69" s="10"/>
      <c r="F69" s="10"/>
      <c r="G69" s="10"/>
      <c r="H69" s="12"/>
    </row>
    <row r="70" spans="1:8" x14ac:dyDescent="0.2">
      <c r="A70" s="11"/>
      <c r="B70" s="10"/>
      <c r="C70" s="10"/>
      <c r="D70" s="10"/>
      <c r="E70" s="10"/>
      <c r="F70" s="10"/>
      <c r="G70" s="10"/>
      <c r="H70" s="12"/>
    </row>
    <row r="71" spans="1:8" x14ac:dyDescent="0.2">
      <c r="A71" s="11"/>
      <c r="B71" s="10"/>
      <c r="C71" s="10"/>
      <c r="D71" s="10"/>
      <c r="E71" s="10"/>
      <c r="F71" s="10"/>
      <c r="G71" s="10"/>
      <c r="H71" s="12"/>
    </row>
    <row r="72" spans="1:8" x14ac:dyDescent="0.2">
      <c r="A72" s="11"/>
      <c r="B72" s="10"/>
      <c r="C72" s="10"/>
      <c r="D72" s="10"/>
      <c r="E72" s="10"/>
      <c r="F72" s="10"/>
      <c r="G72" s="10"/>
      <c r="H72" s="12"/>
    </row>
    <row r="73" spans="1:8" x14ac:dyDescent="0.2">
      <c r="A73" s="11"/>
      <c r="B73" s="10"/>
      <c r="C73" s="10"/>
      <c r="D73" s="10"/>
      <c r="E73" s="10"/>
      <c r="F73" s="10"/>
      <c r="G73" s="10"/>
      <c r="H73" s="12"/>
    </row>
    <row r="74" spans="1:8" x14ac:dyDescent="0.2">
      <c r="A74" s="11"/>
      <c r="B74" s="10"/>
      <c r="C74" s="10"/>
      <c r="D74" s="10"/>
      <c r="E74" s="10"/>
      <c r="F74" s="10"/>
      <c r="G74" s="10"/>
      <c r="H74" s="12"/>
    </row>
    <row r="75" spans="1:8" x14ac:dyDescent="0.2">
      <c r="A75" s="11"/>
      <c r="B75" s="10"/>
      <c r="C75" s="10"/>
      <c r="D75" s="10"/>
      <c r="E75" s="10"/>
      <c r="F75" s="10"/>
      <c r="G75" s="10"/>
      <c r="H75" s="12"/>
    </row>
    <row r="76" spans="1:8" x14ac:dyDescent="0.2">
      <c r="A76" s="11"/>
      <c r="B76" s="10"/>
      <c r="C76" s="10"/>
      <c r="D76" s="10"/>
      <c r="E76" s="10"/>
      <c r="F76" s="10"/>
      <c r="G76" s="10"/>
      <c r="H76" s="12"/>
    </row>
    <row r="77" spans="1:8" x14ac:dyDescent="0.2">
      <c r="A77" s="11"/>
      <c r="B77" s="10"/>
      <c r="C77" s="10"/>
      <c r="D77" s="10"/>
      <c r="E77" s="10"/>
      <c r="F77" s="10"/>
      <c r="G77" s="10"/>
      <c r="H77" s="12"/>
    </row>
    <row r="78" spans="1:8" x14ac:dyDescent="0.2">
      <c r="A78" s="11"/>
      <c r="B78" s="10"/>
      <c r="C78" s="10"/>
      <c r="D78" s="10"/>
      <c r="E78" s="10"/>
      <c r="F78" s="10"/>
      <c r="G78" s="10"/>
      <c r="H78" s="12"/>
    </row>
    <row r="79" spans="1:8" x14ac:dyDescent="0.2">
      <c r="A79" s="11"/>
      <c r="B79" s="10"/>
      <c r="C79" s="10"/>
      <c r="D79" s="10"/>
      <c r="E79" s="10"/>
      <c r="F79" s="10"/>
      <c r="G79" s="10"/>
      <c r="H79" s="12"/>
    </row>
    <row r="80" spans="1:8" x14ac:dyDescent="0.2">
      <c r="A80" s="11"/>
      <c r="B80" s="10"/>
      <c r="C80" s="10"/>
      <c r="D80" s="10"/>
      <c r="E80" s="10"/>
      <c r="F80" s="10"/>
      <c r="G80" s="10"/>
      <c r="H80" s="12"/>
    </row>
    <row r="81" spans="1:8" x14ac:dyDescent="0.2">
      <c r="A81" s="11"/>
      <c r="B81" s="10"/>
      <c r="C81" s="10"/>
      <c r="D81" s="10"/>
      <c r="E81" s="10"/>
      <c r="F81" s="10"/>
      <c r="G81" s="10"/>
      <c r="H81" s="12"/>
    </row>
    <row r="82" spans="1:8" x14ac:dyDescent="0.2">
      <c r="A82" s="11"/>
      <c r="B82" s="10"/>
      <c r="C82" s="10"/>
      <c r="D82" s="10"/>
      <c r="E82" s="10"/>
      <c r="F82" s="10"/>
      <c r="G82" s="10"/>
      <c r="H82" s="12"/>
    </row>
    <row r="83" spans="1:8" x14ac:dyDescent="0.2">
      <c r="A83" s="11"/>
      <c r="B83" s="10"/>
      <c r="C83" s="10"/>
      <c r="D83" s="10"/>
      <c r="E83" s="10"/>
      <c r="F83" s="10"/>
      <c r="G83" s="10"/>
      <c r="H83" s="12"/>
    </row>
    <row r="84" spans="1:8" x14ac:dyDescent="0.2">
      <c r="A84" s="11"/>
      <c r="B84" s="10"/>
      <c r="C84" s="10"/>
      <c r="D84" s="10"/>
      <c r="E84" s="10"/>
      <c r="F84" s="10"/>
      <c r="G84" s="10"/>
      <c r="H84" s="12"/>
    </row>
    <row r="85" spans="1:8" x14ac:dyDescent="0.2">
      <c r="A85" s="11"/>
      <c r="B85" s="10"/>
      <c r="C85" s="10"/>
      <c r="D85" s="10"/>
      <c r="E85" s="10"/>
      <c r="F85" s="10"/>
      <c r="G85" s="10"/>
      <c r="H85" s="12"/>
    </row>
    <row r="86" spans="1:8" x14ac:dyDescent="0.2">
      <c r="A86" s="11"/>
      <c r="B86" s="10"/>
      <c r="C86" s="10"/>
      <c r="D86" s="10"/>
      <c r="E86" s="10"/>
      <c r="F86" s="10"/>
      <c r="G86" s="10"/>
      <c r="H86" s="12"/>
    </row>
    <row r="87" spans="1:8" x14ac:dyDescent="0.2">
      <c r="A87" s="11"/>
      <c r="B87" s="10"/>
      <c r="C87" s="10"/>
      <c r="D87" s="10"/>
      <c r="E87" s="10"/>
      <c r="F87" s="10"/>
      <c r="G87" s="10"/>
      <c r="H87" s="12"/>
    </row>
    <row r="88" spans="1:8" x14ac:dyDescent="0.2">
      <c r="A88" s="11"/>
      <c r="B88" s="10"/>
      <c r="C88" s="10"/>
      <c r="D88" s="10"/>
      <c r="E88" s="10"/>
      <c r="F88" s="10"/>
      <c r="G88" s="10"/>
      <c r="H88" s="12"/>
    </row>
    <row r="89" spans="1:8" x14ac:dyDescent="0.2">
      <c r="A89" s="11"/>
      <c r="B89" s="10"/>
      <c r="C89" s="10"/>
      <c r="D89" s="10"/>
      <c r="E89" s="10"/>
      <c r="F89" s="10"/>
      <c r="G89" s="10"/>
      <c r="H89" s="12"/>
    </row>
    <row r="90" spans="1:8" x14ac:dyDescent="0.2">
      <c r="A90" s="11"/>
      <c r="B90" s="10"/>
      <c r="C90" s="10"/>
      <c r="D90" s="10"/>
      <c r="E90" s="10"/>
      <c r="F90" s="10"/>
      <c r="G90" s="10"/>
      <c r="H90" s="12"/>
    </row>
    <row r="91" spans="1:8" x14ac:dyDescent="0.2">
      <c r="A91" s="11"/>
      <c r="B91" s="10"/>
      <c r="C91" s="10"/>
      <c r="D91" s="10"/>
      <c r="E91" s="10"/>
      <c r="F91" s="10"/>
      <c r="G91" s="10"/>
      <c r="H91" s="12"/>
    </row>
    <row r="92" spans="1:8" x14ac:dyDescent="0.2">
      <c r="A92" s="11"/>
      <c r="B92" s="10"/>
      <c r="C92" s="10"/>
      <c r="D92" s="10"/>
      <c r="E92" s="10"/>
      <c r="F92" s="10"/>
      <c r="G92" s="10"/>
      <c r="H92" s="12"/>
    </row>
    <row r="93" spans="1:8" x14ac:dyDescent="0.2">
      <c r="A93" s="11"/>
      <c r="B93" s="10"/>
      <c r="C93" s="10"/>
      <c r="D93" s="10"/>
      <c r="E93" s="10"/>
      <c r="F93" s="10"/>
      <c r="G93" s="10"/>
      <c r="H93" s="12"/>
    </row>
    <row r="94" spans="1:8" x14ac:dyDescent="0.2">
      <c r="A94" s="11"/>
      <c r="B94" s="10"/>
      <c r="C94" s="10"/>
      <c r="D94" s="10"/>
      <c r="E94" s="10"/>
      <c r="F94" s="10"/>
      <c r="G94" s="10"/>
      <c r="H94" s="12"/>
    </row>
    <row r="95" spans="1:8" x14ac:dyDescent="0.2">
      <c r="A95" s="11"/>
      <c r="B95" s="10"/>
      <c r="C95" s="10"/>
      <c r="D95" s="10"/>
      <c r="E95" s="10"/>
      <c r="F95" s="10"/>
      <c r="G95" s="10"/>
      <c r="H95" s="12"/>
    </row>
    <row r="96" spans="1:8" x14ac:dyDescent="0.2">
      <c r="A96" s="11"/>
      <c r="B96" s="10"/>
      <c r="C96" s="10"/>
      <c r="D96" s="10"/>
      <c r="E96" s="10"/>
      <c r="F96" s="10"/>
      <c r="G96" s="10"/>
      <c r="H96" s="12"/>
    </row>
    <row r="97" spans="1:8" x14ac:dyDescent="0.2">
      <c r="A97" s="11"/>
      <c r="B97" s="10"/>
      <c r="C97" s="10"/>
      <c r="D97" s="10"/>
      <c r="E97" s="10"/>
      <c r="F97" s="10"/>
      <c r="G97" s="10"/>
      <c r="H97" s="12"/>
    </row>
    <row r="98" spans="1:8" x14ac:dyDescent="0.2">
      <c r="A98" s="11"/>
      <c r="B98" s="10"/>
      <c r="C98" s="10"/>
      <c r="D98" s="10"/>
      <c r="E98" s="10"/>
      <c r="F98" s="10"/>
      <c r="G98" s="10"/>
      <c r="H98" s="12"/>
    </row>
    <row r="99" spans="1:8" x14ac:dyDescent="0.2">
      <c r="A99" s="11"/>
      <c r="B99" s="10"/>
      <c r="C99" s="10"/>
      <c r="D99" s="10"/>
      <c r="E99" s="10"/>
      <c r="F99" s="10"/>
      <c r="G99" s="10"/>
      <c r="H99" s="12"/>
    </row>
    <row r="100" spans="1:8" x14ac:dyDescent="0.2">
      <c r="A100" s="11"/>
      <c r="B100" s="10"/>
      <c r="C100" s="10"/>
      <c r="D100" s="10"/>
      <c r="E100" s="10"/>
      <c r="F100" s="10"/>
      <c r="G100" s="10"/>
      <c r="H100" s="12"/>
    </row>
    <row r="101" spans="1:8" x14ac:dyDescent="0.2">
      <c r="A101" s="11"/>
      <c r="B101" s="10"/>
      <c r="C101" s="10"/>
      <c r="D101" s="10"/>
      <c r="E101" s="10"/>
      <c r="F101" s="10"/>
      <c r="G101" s="10"/>
      <c r="H101" s="12"/>
    </row>
    <row r="102" spans="1:8" x14ac:dyDescent="0.2">
      <c r="A102" s="11"/>
      <c r="B102" s="10"/>
      <c r="C102" s="10"/>
      <c r="D102" s="10"/>
      <c r="E102" s="10"/>
      <c r="F102" s="10"/>
      <c r="G102" s="10"/>
      <c r="H102" s="12"/>
    </row>
    <row r="103" spans="1:8" x14ac:dyDescent="0.2">
      <c r="A103" s="11"/>
      <c r="B103" s="10"/>
      <c r="C103" s="10"/>
      <c r="D103" s="10"/>
      <c r="E103" s="10"/>
      <c r="F103" s="10"/>
      <c r="G103" s="10"/>
      <c r="H103" s="12"/>
    </row>
    <row r="104" spans="1:8" x14ac:dyDescent="0.2">
      <c r="A104" s="11"/>
      <c r="B104" s="10"/>
      <c r="C104" s="10"/>
      <c r="D104" s="10"/>
      <c r="E104" s="10"/>
      <c r="F104" s="10"/>
      <c r="G104" s="10"/>
      <c r="H104" s="12"/>
    </row>
    <row r="105" spans="1:8" x14ac:dyDescent="0.2">
      <c r="A105" s="11"/>
      <c r="B105" s="10"/>
      <c r="C105" s="10"/>
      <c r="D105" s="10"/>
      <c r="E105" s="10"/>
      <c r="F105" s="10"/>
      <c r="G105" s="10"/>
      <c r="H105" s="12"/>
    </row>
    <row r="106" spans="1:8" x14ac:dyDescent="0.2">
      <c r="A106" s="11"/>
      <c r="B106" s="10"/>
      <c r="C106" s="10"/>
      <c r="D106" s="10"/>
      <c r="E106" s="10"/>
      <c r="F106" s="10"/>
      <c r="G106" s="10"/>
      <c r="H106" s="12"/>
    </row>
    <row r="107" spans="1:8" x14ac:dyDescent="0.2">
      <c r="A107" s="11"/>
      <c r="B107" s="10"/>
      <c r="C107" s="10"/>
      <c r="D107" s="10"/>
      <c r="E107" s="10"/>
      <c r="F107" s="10"/>
      <c r="G107" s="10"/>
      <c r="H107" s="12"/>
    </row>
    <row r="108" spans="1:8" x14ac:dyDescent="0.2">
      <c r="A108" s="11"/>
      <c r="B108" s="10"/>
      <c r="C108" s="10"/>
      <c r="D108" s="10"/>
      <c r="E108" s="10"/>
      <c r="F108" s="10"/>
      <c r="G108" s="10"/>
      <c r="H108" s="12"/>
    </row>
    <row r="109" spans="1:8" x14ac:dyDescent="0.2">
      <c r="A109" s="11"/>
      <c r="B109" s="10"/>
      <c r="C109" s="10"/>
      <c r="D109" s="10"/>
      <c r="E109" s="10"/>
      <c r="F109" s="10"/>
      <c r="G109" s="10"/>
      <c r="H109" s="12"/>
    </row>
    <row r="110" spans="1:8" x14ac:dyDescent="0.2">
      <c r="A110" s="11"/>
      <c r="B110" s="10"/>
      <c r="C110" s="10"/>
      <c r="D110" s="10"/>
      <c r="E110" s="10"/>
      <c r="F110" s="10"/>
      <c r="G110" s="10"/>
      <c r="H110" s="12"/>
    </row>
    <row r="111" spans="1:8" x14ac:dyDescent="0.2">
      <c r="A111" s="11"/>
      <c r="B111" s="10"/>
      <c r="C111" s="10"/>
      <c r="D111" s="10"/>
      <c r="E111" s="10"/>
      <c r="F111" s="10"/>
      <c r="G111" s="10"/>
      <c r="H111" s="12"/>
    </row>
    <row r="112" spans="1:8" x14ac:dyDescent="0.2">
      <c r="A112" s="11"/>
      <c r="B112" s="10"/>
      <c r="C112" s="10"/>
      <c r="D112" s="10"/>
      <c r="E112" s="10"/>
      <c r="F112" s="10"/>
      <c r="G112" s="10"/>
      <c r="H112" s="12"/>
    </row>
    <row r="113" spans="1:8" x14ac:dyDescent="0.2">
      <c r="A113" s="11"/>
      <c r="B113" s="10"/>
      <c r="C113" s="10"/>
      <c r="D113" s="10"/>
      <c r="E113" s="10"/>
      <c r="F113" s="10"/>
      <c r="G113" s="10"/>
      <c r="H113" s="12"/>
    </row>
    <row r="114" spans="1:8" x14ac:dyDescent="0.2">
      <c r="A114" s="11"/>
      <c r="B114" s="10"/>
      <c r="C114" s="10"/>
      <c r="D114" s="10"/>
      <c r="E114" s="10"/>
      <c r="F114" s="10"/>
      <c r="G114" s="10"/>
      <c r="H114" s="12"/>
    </row>
    <row r="115" spans="1:8" x14ac:dyDescent="0.2">
      <c r="A115" s="11"/>
      <c r="B115" s="10"/>
      <c r="C115" s="10"/>
      <c r="D115" s="10"/>
      <c r="E115" s="10"/>
      <c r="F115" s="10"/>
      <c r="G115" s="10"/>
      <c r="H115" s="12"/>
    </row>
    <row r="116" spans="1:8" x14ac:dyDescent="0.2">
      <c r="A116" s="11"/>
      <c r="B116" s="10"/>
      <c r="C116" s="10"/>
      <c r="D116" s="10"/>
      <c r="E116" s="10"/>
      <c r="F116" s="10"/>
      <c r="G116" s="10"/>
      <c r="H116" s="12"/>
    </row>
    <row r="117" spans="1:8" x14ac:dyDescent="0.2">
      <c r="A117" s="11"/>
      <c r="B117" s="10"/>
      <c r="C117" s="10"/>
      <c r="D117" s="10"/>
      <c r="E117" s="10"/>
      <c r="F117" s="10"/>
      <c r="G117" s="10"/>
      <c r="H117" s="12"/>
    </row>
    <row r="118" spans="1:8" x14ac:dyDescent="0.2">
      <c r="A118" s="11"/>
      <c r="B118" s="10"/>
      <c r="C118" s="10"/>
      <c r="D118" s="10"/>
      <c r="E118" s="10"/>
      <c r="F118" s="10"/>
      <c r="G118" s="10"/>
      <c r="H118" s="12"/>
    </row>
    <row r="119" spans="1:8" x14ac:dyDescent="0.2">
      <c r="A119" s="11"/>
      <c r="B119" s="10"/>
      <c r="C119" s="10"/>
      <c r="D119" s="10"/>
      <c r="E119" s="10"/>
      <c r="F119" s="10"/>
      <c r="G119" s="10"/>
      <c r="H119" s="12"/>
    </row>
    <row r="120" spans="1:8" x14ac:dyDescent="0.2">
      <c r="A120" s="11"/>
      <c r="B120" s="10"/>
      <c r="C120" s="10"/>
      <c r="D120" s="10"/>
      <c r="E120" s="10"/>
      <c r="F120" s="10"/>
      <c r="G120" s="10"/>
      <c r="H120" s="12"/>
    </row>
    <row r="121" spans="1:8" x14ac:dyDescent="0.2">
      <c r="A121" s="11"/>
      <c r="B121" s="10"/>
      <c r="C121" s="10"/>
      <c r="D121" s="10"/>
      <c r="E121" s="10"/>
      <c r="F121" s="10"/>
      <c r="G121" s="10"/>
      <c r="H121" s="12"/>
    </row>
    <row r="122" spans="1:8" x14ac:dyDescent="0.2">
      <c r="A122" s="11"/>
      <c r="B122" s="10"/>
      <c r="C122" s="10"/>
      <c r="D122" s="10"/>
      <c r="E122" s="10"/>
      <c r="F122" s="10"/>
      <c r="G122" s="10"/>
      <c r="H122" s="12"/>
    </row>
    <row r="123" spans="1:8" x14ac:dyDescent="0.2">
      <c r="A123" s="13"/>
      <c r="B123" s="14"/>
      <c r="C123" s="14"/>
      <c r="D123" s="14"/>
      <c r="E123" s="14"/>
      <c r="F123" s="14"/>
      <c r="G123" s="14"/>
      <c r="H123" s="15"/>
    </row>
    <row r="124" spans="1:8" x14ac:dyDescent="0.2">
      <c r="A124" s="32" t="s">
        <v>14</v>
      </c>
      <c r="B124" s="23"/>
      <c r="C124" s="23"/>
      <c r="D124" s="23"/>
      <c r="E124" s="23"/>
      <c r="F124" s="23"/>
      <c r="G124" s="23"/>
      <c r="H124" s="33"/>
    </row>
    <row r="125" spans="1:8" x14ac:dyDescent="0.2">
      <c r="A125" s="34" t="s">
        <v>6</v>
      </c>
      <c r="B125" s="35"/>
      <c r="C125" s="35"/>
      <c r="D125" s="35"/>
      <c r="E125" s="35"/>
      <c r="F125" s="35"/>
      <c r="G125" s="35"/>
      <c r="H125" s="36"/>
    </row>
    <row r="126" spans="1:8" x14ac:dyDescent="0.2">
      <c r="A126" s="11"/>
      <c r="B126" s="10"/>
      <c r="C126" s="10"/>
      <c r="D126" s="10"/>
      <c r="E126" s="10"/>
      <c r="F126" s="10"/>
      <c r="G126" s="10"/>
      <c r="H126" s="12"/>
    </row>
    <row r="127" spans="1:8" x14ac:dyDescent="0.2">
      <c r="A127" s="11"/>
      <c r="B127" s="10"/>
      <c r="C127" s="10"/>
      <c r="D127" s="10"/>
      <c r="E127" s="10"/>
      <c r="F127" s="10"/>
      <c r="G127" s="10"/>
      <c r="H127" s="12"/>
    </row>
    <row r="128" spans="1:8" x14ac:dyDescent="0.2">
      <c r="A128" s="11"/>
      <c r="B128" s="10"/>
      <c r="C128" s="10"/>
      <c r="D128" s="10"/>
      <c r="E128" s="10"/>
      <c r="F128" s="10"/>
      <c r="G128" s="10"/>
      <c r="H128" s="12"/>
    </row>
    <row r="129" spans="1:8" x14ac:dyDescent="0.2">
      <c r="A129" s="11"/>
      <c r="B129" s="10"/>
      <c r="C129" s="10"/>
      <c r="D129" s="10"/>
      <c r="E129" s="10"/>
      <c r="F129" s="10"/>
      <c r="G129" s="10"/>
      <c r="H129" s="12"/>
    </row>
    <row r="130" spans="1:8" x14ac:dyDescent="0.2">
      <c r="A130" s="11"/>
      <c r="B130" s="10"/>
      <c r="C130" s="10"/>
      <c r="D130" s="10"/>
      <c r="E130" s="10"/>
      <c r="F130" s="10"/>
      <c r="G130" s="10"/>
      <c r="H130" s="12"/>
    </row>
    <row r="131" spans="1:8" x14ac:dyDescent="0.2">
      <c r="A131" s="11"/>
      <c r="B131" s="10"/>
      <c r="C131" s="10"/>
      <c r="D131" s="10"/>
      <c r="E131" s="10"/>
      <c r="F131" s="10"/>
      <c r="G131" s="10"/>
      <c r="H131" s="12"/>
    </row>
    <row r="132" spans="1:8" x14ac:dyDescent="0.2">
      <c r="A132" s="11"/>
      <c r="B132" s="10"/>
      <c r="C132" s="10"/>
      <c r="D132" s="10"/>
      <c r="E132" s="10"/>
      <c r="F132" s="10"/>
      <c r="G132" s="10"/>
      <c r="H132" s="12"/>
    </row>
    <row r="133" spans="1:8" x14ac:dyDescent="0.2">
      <c r="A133" s="11"/>
      <c r="B133" s="10"/>
      <c r="C133" s="10"/>
      <c r="D133" s="10"/>
      <c r="E133" s="10"/>
      <c r="F133" s="10"/>
      <c r="G133" s="10"/>
      <c r="H133" s="12"/>
    </row>
    <row r="134" spans="1:8" x14ac:dyDescent="0.2">
      <c r="A134" s="11"/>
      <c r="B134" s="10"/>
      <c r="C134" s="10"/>
      <c r="D134" s="10"/>
      <c r="E134" s="10"/>
      <c r="F134" s="10"/>
      <c r="G134" s="10"/>
      <c r="H134" s="12"/>
    </row>
    <row r="135" spans="1:8" x14ac:dyDescent="0.2">
      <c r="A135" s="11"/>
      <c r="B135" s="10"/>
      <c r="C135" s="10"/>
      <c r="D135" s="10"/>
      <c r="E135" s="10"/>
      <c r="F135" s="10"/>
      <c r="G135" s="10"/>
      <c r="H135" s="12"/>
    </row>
    <row r="136" spans="1:8" x14ac:dyDescent="0.2">
      <c r="A136" s="11"/>
      <c r="B136" s="10"/>
      <c r="C136" s="10"/>
      <c r="D136" s="10"/>
      <c r="E136" s="10"/>
      <c r="F136" s="10"/>
      <c r="G136" s="10"/>
      <c r="H136" s="12"/>
    </row>
    <row r="137" spans="1:8" x14ac:dyDescent="0.2">
      <c r="A137" s="11"/>
      <c r="B137" s="10"/>
      <c r="C137" s="10"/>
      <c r="D137" s="10"/>
      <c r="E137" s="10"/>
      <c r="F137" s="10"/>
      <c r="G137" s="10"/>
      <c r="H137" s="12"/>
    </row>
    <row r="138" spans="1:8" x14ac:dyDescent="0.2">
      <c r="A138" s="11"/>
      <c r="B138" s="10"/>
      <c r="C138" s="10"/>
      <c r="D138" s="10"/>
      <c r="E138" s="10"/>
      <c r="F138" s="10"/>
      <c r="G138" s="10"/>
      <c r="H138" s="12"/>
    </row>
    <row r="139" spans="1:8" x14ac:dyDescent="0.2">
      <c r="A139" s="11"/>
      <c r="B139" s="10"/>
      <c r="C139" s="10"/>
      <c r="D139" s="10"/>
      <c r="E139" s="10"/>
      <c r="F139" s="10"/>
      <c r="G139" s="10"/>
      <c r="H139" s="12"/>
    </row>
    <row r="140" spans="1:8" x14ac:dyDescent="0.2">
      <c r="A140" s="11"/>
      <c r="B140" s="10"/>
      <c r="C140" s="10"/>
      <c r="D140" s="10"/>
      <c r="E140" s="10"/>
      <c r="F140" s="10"/>
      <c r="G140" s="10"/>
      <c r="H140" s="12"/>
    </row>
    <row r="141" spans="1:8" x14ac:dyDescent="0.2">
      <c r="A141" s="11"/>
      <c r="B141" s="10"/>
      <c r="C141" s="10"/>
      <c r="D141" s="10"/>
      <c r="E141" s="10"/>
      <c r="F141" s="10"/>
      <c r="G141" s="10"/>
      <c r="H141" s="12"/>
    </row>
    <row r="142" spans="1:8" x14ac:dyDescent="0.2">
      <c r="A142" s="11"/>
      <c r="B142" s="10"/>
      <c r="C142" s="10"/>
      <c r="D142" s="10"/>
      <c r="E142" s="10"/>
      <c r="F142" s="10"/>
      <c r="G142" s="10"/>
      <c r="H142" s="12"/>
    </row>
    <row r="143" spans="1:8" x14ac:dyDescent="0.2">
      <c r="A143" s="11"/>
      <c r="B143" s="10"/>
      <c r="C143" s="10"/>
      <c r="D143" s="10"/>
      <c r="E143" s="10"/>
      <c r="F143" s="10"/>
      <c r="G143" s="10"/>
      <c r="H143" s="12"/>
    </row>
    <row r="144" spans="1:8" x14ac:dyDescent="0.2">
      <c r="A144" s="11"/>
      <c r="B144" s="10"/>
      <c r="C144" s="10"/>
      <c r="D144" s="10"/>
      <c r="E144" s="10"/>
      <c r="F144" s="10"/>
      <c r="G144" s="10"/>
      <c r="H144" s="12"/>
    </row>
    <row r="145" spans="1:8" x14ac:dyDescent="0.2">
      <c r="A145" s="11"/>
      <c r="B145" s="10"/>
      <c r="C145" s="10"/>
      <c r="D145" s="10"/>
      <c r="E145" s="10"/>
      <c r="F145" s="10"/>
      <c r="G145" s="10"/>
      <c r="H145" s="12"/>
    </row>
    <row r="146" spans="1:8" x14ac:dyDescent="0.2">
      <c r="A146" s="11"/>
      <c r="B146" s="10"/>
      <c r="C146" s="10"/>
      <c r="D146" s="10"/>
      <c r="E146" s="10"/>
      <c r="F146" s="10"/>
      <c r="G146" s="10"/>
      <c r="H146" s="12"/>
    </row>
    <row r="147" spans="1:8" x14ac:dyDescent="0.2">
      <c r="A147" s="11"/>
      <c r="B147" s="10"/>
      <c r="C147" s="10"/>
      <c r="D147" s="10"/>
      <c r="E147" s="10"/>
      <c r="F147" s="10"/>
      <c r="G147" s="10"/>
      <c r="H147" s="12"/>
    </row>
    <row r="148" spans="1:8" x14ac:dyDescent="0.2">
      <c r="A148" s="11"/>
      <c r="B148" s="10"/>
      <c r="C148" s="10"/>
      <c r="D148" s="10"/>
      <c r="E148" s="10"/>
      <c r="F148" s="10"/>
      <c r="G148" s="10"/>
      <c r="H148" s="12"/>
    </row>
    <row r="149" spans="1:8" x14ac:dyDescent="0.2">
      <c r="A149" s="11"/>
      <c r="B149" s="10"/>
      <c r="C149" s="10"/>
      <c r="D149" s="10"/>
      <c r="E149" s="10"/>
      <c r="F149" s="10"/>
      <c r="G149" s="10"/>
      <c r="H149" s="12"/>
    </row>
    <row r="150" spans="1:8" x14ac:dyDescent="0.2">
      <c r="A150" s="11"/>
      <c r="B150" s="10"/>
      <c r="C150" s="10"/>
      <c r="D150" s="10"/>
      <c r="E150" s="10"/>
      <c r="F150" s="10"/>
      <c r="G150" s="10"/>
      <c r="H150" s="12"/>
    </row>
    <row r="151" spans="1:8" x14ac:dyDescent="0.2">
      <c r="A151" s="11"/>
      <c r="B151" s="10"/>
      <c r="C151" s="10"/>
      <c r="D151" s="10"/>
      <c r="E151" s="10"/>
      <c r="F151" s="10"/>
      <c r="G151" s="10"/>
      <c r="H151" s="12"/>
    </row>
    <row r="152" spans="1:8" x14ac:dyDescent="0.2">
      <c r="A152" s="11"/>
      <c r="B152" s="10"/>
      <c r="C152" s="10"/>
      <c r="D152" s="10"/>
      <c r="E152" s="10"/>
      <c r="F152" s="10"/>
      <c r="G152" s="10"/>
      <c r="H152" s="12"/>
    </row>
    <row r="153" spans="1:8" x14ac:dyDescent="0.2">
      <c r="A153" s="11"/>
      <c r="B153" s="10"/>
      <c r="C153" s="10"/>
      <c r="D153" s="10"/>
      <c r="E153" s="10"/>
      <c r="F153" s="10"/>
      <c r="G153" s="10"/>
      <c r="H153" s="12"/>
    </row>
    <row r="154" spans="1:8" x14ac:dyDescent="0.2">
      <c r="A154" s="11"/>
      <c r="B154" s="10"/>
      <c r="C154" s="10"/>
      <c r="D154" s="10"/>
      <c r="E154" s="10"/>
      <c r="F154" s="10"/>
      <c r="G154" s="10"/>
      <c r="H154" s="12"/>
    </row>
    <row r="155" spans="1:8" x14ac:dyDescent="0.2">
      <c r="A155" s="11"/>
      <c r="B155" s="10"/>
      <c r="C155" s="10"/>
      <c r="D155" s="10"/>
      <c r="E155" s="10"/>
      <c r="F155" s="10"/>
      <c r="G155" s="10"/>
      <c r="H155" s="12"/>
    </row>
    <row r="156" spans="1:8" x14ac:dyDescent="0.2">
      <c r="A156" s="11"/>
      <c r="B156" s="10"/>
      <c r="C156" s="10"/>
      <c r="D156" s="10"/>
      <c r="E156" s="10"/>
      <c r="F156" s="10"/>
      <c r="G156" s="10"/>
      <c r="H156" s="12"/>
    </row>
    <row r="157" spans="1:8" x14ac:dyDescent="0.2">
      <c r="A157" s="11"/>
      <c r="B157" s="10"/>
      <c r="C157" s="10"/>
      <c r="D157" s="10"/>
      <c r="E157" s="10"/>
      <c r="F157" s="10"/>
      <c r="G157" s="10"/>
      <c r="H157" s="12"/>
    </row>
    <row r="158" spans="1:8" x14ac:dyDescent="0.2">
      <c r="A158" s="11"/>
      <c r="B158" s="10"/>
      <c r="C158" s="10"/>
      <c r="D158" s="10"/>
      <c r="E158" s="10"/>
      <c r="F158" s="10"/>
      <c r="G158" s="10"/>
      <c r="H158" s="12"/>
    </row>
    <row r="159" spans="1:8" x14ac:dyDescent="0.2">
      <c r="A159" s="11"/>
      <c r="B159" s="10"/>
      <c r="C159" s="10"/>
      <c r="D159" s="10"/>
      <c r="E159" s="10"/>
      <c r="F159" s="10"/>
      <c r="G159" s="10"/>
      <c r="H159" s="12"/>
    </row>
    <row r="160" spans="1:8" x14ac:dyDescent="0.2">
      <c r="A160" s="11"/>
      <c r="B160" s="10"/>
      <c r="C160" s="10"/>
      <c r="D160" s="10"/>
      <c r="E160" s="10"/>
      <c r="F160" s="10"/>
      <c r="G160" s="10"/>
      <c r="H160" s="12"/>
    </row>
    <row r="161" spans="1:8" x14ac:dyDescent="0.2">
      <c r="A161" s="11"/>
      <c r="B161" s="10"/>
      <c r="C161" s="10"/>
      <c r="D161" s="10"/>
      <c r="E161" s="10"/>
      <c r="F161" s="10"/>
      <c r="G161" s="10"/>
      <c r="H161" s="12"/>
    </row>
    <row r="162" spans="1:8" x14ac:dyDescent="0.2">
      <c r="A162" s="11"/>
      <c r="B162" s="10"/>
      <c r="C162" s="10"/>
      <c r="D162" s="10"/>
      <c r="E162" s="10"/>
      <c r="F162" s="10"/>
      <c r="G162" s="10"/>
      <c r="H162" s="12"/>
    </row>
    <row r="163" spans="1:8" x14ac:dyDescent="0.2">
      <c r="A163" s="11"/>
      <c r="B163" s="10"/>
      <c r="C163" s="10"/>
      <c r="D163" s="10"/>
      <c r="E163" s="10"/>
      <c r="F163" s="10"/>
      <c r="G163" s="10"/>
      <c r="H163" s="12"/>
    </row>
    <row r="164" spans="1:8" x14ac:dyDescent="0.2">
      <c r="A164" s="11"/>
      <c r="B164" s="10"/>
      <c r="C164" s="10"/>
      <c r="D164" s="10"/>
      <c r="E164" s="10"/>
      <c r="F164" s="10"/>
      <c r="G164" s="10"/>
      <c r="H164" s="12"/>
    </row>
    <row r="165" spans="1:8" x14ac:dyDescent="0.2">
      <c r="A165" s="11"/>
      <c r="B165" s="10"/>
      <c r="C165" s="10"/>
      <c r="D165" s="10"/>
      <c r="E165" s="10"/>
      <c r="F165" s="10"/>
      <c r="G165" s="10"/>
      <c r="H165" s="12"/>
    </row>
    <row r="166" spans="1:8" x14ac:dyDescent="0.2">
      <c r="A166" s="11"/>
      <c r="B166" s="10"/>
      <c r="C166" s="10"/>
      <c r="D166" s="10"/>
      <c r="E166" s="10"/>
      <c r="F166" s="10"/>
      <c r="G166" s="10"/>
      <c r="H166" s="12"/>
    </row>
    <row r="167" spans="1:8" x14ac:dyDescent="0.2">
      <c r="A167" s="11"/>
      <c r="B167" s="10"/>
      <c r="C167" s="10"/>
      <c r="D167" s="10"/>
      <c r="E167" s="10"/>
      <c r="F167" s="10"/>
      <c r="G167" s="10"/>
      <c r="H167" s="12"/>
    </row>
    <row r="168" spans="1:8" x14ac:dyDescent="0.2">
      <c r="A168" s="11"/>
      <c r="B168" s="10"/>
      <c r="C168" s="10"/>
      <c r="D168" s="10"/>
      <c r="E168" s="10"/>
      <c r="F168" s="10"/>
      <c r="G168" s="10"/>
      <c r="H168" s="12"/>
    </row>
    <row r="169" spans="1:8" x14ac:dyDescent="0.2">
      <c r="A169" s="11"/>
      <c r="B169" s="10"/>
      <c r="C169" s="10"/>
      <c r="D169" s="10"/>
      <c r="E169" s="10"/>
      <c r="F169" s="10"/>
      <c r="G169" s="10"/>
      <c r="H169" s="12"/>
    </row>
    <row r="170" spans="1:8" x14ac:dyDescent="0.2">
      <c r="A170" s="11"/>
      <c r="B170" s="10"/>
      <c r="C170" s="10"/>
      <c r="D170" s="10"/>
      <c r="E170" s="10"/>
      <c r="F170" s="10"/>
      <c r="G170" s="10"/>
      <c r="H170" s="12"/>
    </row>
    <row r="171" spans="1:8" x14ac:dyDescent="0.2">
      <c r="A171" s="11"/>
      <c r="B171" s="10"/>
      <c r="C171" s="10"/>
      <c r="D171" s="10"/>
      <c r="E171" s="10"/>
      <c r="F171" s="10"/>
      <c r="G171" s="10"/>
      <c r="H171" s="12"/>
    </row>
    <row r="172" spans="1:8" x14ac:dyDescent="0.2">
      <c r="A172" s="11"/>
      <c r="B172" s="10"/>
      <c r="C172" s="10"/>
      <c r="D172" s="10"/>
      <c r="E172" s="10"/>
      <c r="F172" s="10"/>
      <c r="G172" s="10"/>
      <c r="H172" s="12"/>
    </row>
    <row r="173" spans="1:8" x14ac:dyDescent="0.2">
      <c r="A173" s="11"/>
      <c r="B173" s="10"/>
      <c r="C173" s="10"/>
      <c r="D173" s="10"/>
      <c r="E173" s="10"/>
      <c r="F173" s="10"/>
      <c r="G173" s="10"/>
      <c r="H173" s="12"/>
    </row>
    <row r="174" spans="1:8" x14ac:dyDescent="0.2">
      <c r="A174" s="11"/>
      <c r="B174" s="10"/>
      <c r="C174" s="10"/>
      <c r="D174" s="10"/>
      <c r="E174" s="10"/>
      <c r="F174" s="10"/>
      <c r="G174" s="10"/>
      <c r="H174" s="12"/>
    </row>
    <row r="175" spans="1:8" x14ac:dyDescent="0.2">
      <c r="A175" s="11"/>
      <c r="B175" s="10"/>
      <c r="C175" s="10"/>
      <c r="D175" s="10"/>
      <c r="E175" s="10"/>
      <c r="F175" s="10"/>
      <c r="G175" s="10"/>
      <c r="H175" s="12"/>
    </row>
    <row r="176" spans="1:8" x14ac:dyDescent="0.2">
      <c r="A176" s="11"/>
      <c r="B176" s="10"/>
      <c r="C176" s="10"/>
      <c r="D176" s="10"/>
      <c r="E176" s="10"/>
      <c r="F176" s="10"/>
      <c r="G176" s="10"/>
      <c r="H176" s="12"/>
    </row>
    <row r="177" spans="1:8" x14ac:dyDescent="0.2">
      <c r="A177" s="11"/>
      <c r="B177" s="10"/>
      <c r="C177" s="10"/>
      <c r="D177" s="10"/>
      <c r="E177" s="10"/>
      <c r="F177" s="10"/>
      <c r="G177" s="10"/>
      <c r="H177" s="12"/>
    </row>
    <row r="178" spans="1:8" x14ac:dyDescent="0.2">
      <c r="A178" s="11"/>
      <c r="B178" s="10"/>
      <c r="C178" s="10"/>
      <c r="D178" s="10"/>
      <c r="E178" s="10"/>
      <c r="F178" s="10"/>
      <c r="G178" s="10"/>
      <c r="H178" s="12"/>
    </row>
    <row r="179" spans="1:8" x14ac:dyDescent="0.2">
      <c r="A179" s="11"/>
      <c r="B179" s="10"/>
      <c r="C179" s="10"/>
      <c r="D179" s="10"/>
      <c r="E179" s="10"/>
      <c r="F179" s="10"/>
      <c r="G179" s="10"/>
      <c r="H179" s="12"/>
    </row>
    <row r="180" spans="1:8" x14ac:dyDescent="0.2">
      <c r="A180" s="11"/>
      <c r="B180" s="10"/>
      <c r="C180" s="10"/>
      <c r="D180" s="10"/>
      <c r="E180" s="10"/>
      <c r="F180" s="10"/>
      <c r="G180" s="10"/>
      <c r="H180" s="12"/>
    </row>
    <row r="181" spans="1:8" x14ac:dyDescent="0.2">
      <c r="A181" s="13"/>
      <c r="B181" s="14"/>
      <c r="C181" s="14"/>
      <c r="D181" s="14"/>
      <c r="E181" s="14"/>
      <c r="F181" s="14"/>
      <c r="G181" s="14"/>
      <c r="H181" s="15"/>
    </row>
  </sheetData>
  <mergeCells count="4">
    <mergeCell ref="D2:E2"/>
    <mergeCell ref="G2:H2"/>
    <mergeCell ref="I2:K2"/>
    <mergeCell ref="B4:F4"/>
  </mergeCells>
  <phoneticPr fontId="2"/>
  <dataValidations count="1">
    <dataValidation type="list" allowBlank="1" showInputMessage="1" showErrorMessage="1" sqref="F6 D6" xr:uid="{18E61600-26F1-45C1-8380-D71118ABEE20}">
      <formula1>$J$7:$J$9</formula1>
    </dataValidation>
  </dataValidations>
  <pageMargins left="0.78700000000000003" right="0.78700000000000003" top="0.98399999999999999" bottom="0.98399999999999999" header="0.51200000000000001" footer="0.51200000000000001"/>
  <pageSetup paperSize="9" scale="74" orientation="portrait" verticalDpi="0" r:id="rId1"/>
  <headerFooter alignWithMargins="0">
    <oddHeader>&amp;L&amp;F&amp;C&amp;A&amp;R&amp;D</oddHeader>
    <oddFooter>&amp;LCONFIDENTIAL&amp;C株式会社 ISIDインターテクノロジー&amp;R&amp;P</oddFooter>
  </headerFooter>
  <rowBreaks count="2" manualBreakCount="2">
    <brk id="65" max="16383" man="1"/>
    <brk id="123" max="16383"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AEF1C-94EC-4366-B056-1E21DAF0B43B}">
  <sheetPr codeName="Sheet14"/>
  <dimension ref="A1:K73"/>
  <sheetViews>
    <sheetView view="pageBreakPreview" zoomScaleNormal="100" workbookViewId="0">
      <pane ySplit="7" topLeftCell="A8" activePane="bottomLeft" state="frozen"/>
      <selection activeCell="H4" sqref="H4"/>
      <selection pane="bottomLeft" activeCell="A8" sqref="A8"/>
    </sheetView>
  </sheetViews>
  <sheetFormatPr defaultColWidth="9" defaultRowHeight="12" x14ac:dyDescent="0.2"/>
  <cols>
    <col min="1" max="1" width="17.453125" style="1" customWidth="1"/>
    <col min="2" max="2" width="10.36328125" style="1" customWidth="1"/>
    <col min="3" max="3" width="8" style="1" bestFit="1" customWidth="1"/>
    <col min="4" max="4" width="11.7265625" style="1" customWidth="1"/>
    <col min="5" max="5" width="10" style="1" customWidth="1"/>
    <col min="6" max="6" width="9.08984375" style="1" customWidth="1"/>
    <col min="7" max="7" width="7.26953125" style="1" customWidth="1"/>
    <col min="8" max="8" width="15.90625" style="1" customWidth="1"/>
    <col min="9" max="9" width="8.6328125" style="1" customWidth="1"/>
    <col min="10" max="10" width="9" style="1" hidden="1" customWidth="1"/>
    <col min="11" max="16384" width="9" style="1"/>
  </cols>
  <sheetData>
    <row r="1" spans="1:11" s="61" customFormat="1" ht="28.5" customHeight="1" thickBot="1" x14ac:dyDescent="0.25"/>
    <row r="2" spans="1:11" s="62" customFormat="1" ht="24" customHeight="1" x14ac:dyDescent="0.25">
      <c r="A2" s="64" t="s">
        <v>34</v>
      </c>
      <c r="D2" s="108" t="str">
        <f>テンプレート!D2</f>
        <v>管理番号：DN-030103-019.01
分類　　　：ロジック設計書</v>
      </c>
      <c r="E2" s="108"/>
      <c r="F2" s="63"/>
      <c r="G2" s="109" t="str">
        <f>テンプレート!G2</f>
        <v>更新者：
更新日：</v>
      </c>
      <c r="H2" s="109"/>
      <c r="I2" s="109" t="str">
        <f>テンプレート!I2</f>
        <v>作成者：ISID-IT 衣川
作成日：2006/12/27</v>
      </c>
      <c r="J2" s="109"/>
      <c r="K2" s="109"/>
    </row>
    <row r="3" spans="1:11" ht="20.25" customHeight="1" x14ac:dyDescent="0.25">
      <c r="A3" s="2" t="s">
        <v>52</v>
      </c>
    </row>
    <row r="4" spans="1:11" ht="24" customHeight="1" x14ac:dyDescent="0.2">
      <c r="A4" s="38" t="s">
        <v>4</v>
      </c>
      <c r="B4" s="110" t="s">
        <v>55</v>
      </c>
      <c r="C4" s="111"/>
      <c r="D4" s="111"/>
      <c r="E4" s="111"/>
      <c r="F4" s="112"/>
      <c r="G4" s="83" t="s">
        <v>33</v>
      </c>
      <c r="H4" s="69" t="s">
        <v>51</v>
      </c>
    </row>
    <row r="5" spans="1:11" x14ac:dyDescent="0.2">
      <c r="A5" s="37" t="s">
        <v>37</v>
      </c>
      <c r="B5" s="4" t="str">
        <f>CONCATENATE(テンプレート!B5, ".logic.impl.ConditionLogicImpl")</f>
        <v>jp.co.isid.mos.bird.entry.nationalviewlist.logic.impl.ConditionLogicImpl</v>
      </c>
      <c r="C5" s="4"/>
      <c r="D5" s="4"/>
      <c r="E5" s="8"/>
      <c r="F5" s="8"/>
      <c r="G5" s="8"/>
      <c r="H5" s="9"/>
    </row>
    <row r="6" spans="1:11" x14ac:dyDescent="0.2">
      <c r="A6" s="37" t="s">
        <v>38</v>
      </c>
      <c r="B6" s="4" t="str">
        <f>CONCATENATE(テンプレート!B6,,"01")</f>
        <v>BEN016L01</v>
      </c>
      <c r="C6" s="48" t="s">
        <v>39</v>
      </c>
      <c r="D6" s="3" t="s">
        <v>22</v>
      </c>
      <c r="E6" s="60"/>
      <c r="F6" s="4"/>
      <c r="G6" s="59"/>
      <c r="H6" s="5"/>
      <c r="J6" s="1" t="s">
        <v>40</v>
      </c>
    </row>
    <row r="7" spans="1:11" x14ac:dyDescent="0.2">
      <c r="J7" s="1" t="s">
        <v>22</v>
      </c>
    </row>
    <row r="8" spans="1:11" x14ac:dyDescent="0.2">
      <c r="A8" s="21" t="s">
        <v>0</v>
      </c>
      <c r="B8" s="22"/>
      <c r="C8" s="23"/>
      <c r="D8" s="23"/>
      <c r="E8" s="23"/>
      <c r="F8" s="23"/>
      <c r="G8" s="22"/>
      <c r="H8" s="24"/>
      <c r="J8" s="1" t="s">
        <v>21</v>
      </c>
    </row>
    <row r="9" spans="1:11" x14ac:dyDescent="0.2">
      <c r="A9" s="17" t="s">
        <v>42</v>
      </c>
      <c r="B9" s="18"/>
      <c r="C9" s="18"/>
      <c r="D9" s="18"/>
      <c r="E9" s="18"/>
      <c r="F9" s="18"/>
      <c r="G9" s="18"/>
      <c r="H9" s="20"/>
      <c r="J9" s="1" t="s">
        <v>23</v>
      </c>
    </row>
    <row r="10" spans="1:11" x14ac:dyDescent="0.2">
      <c r="A10" s="25" t="s">
        <v>1</v>
      </c>
      <c r="B10" s="26" t="s">
        <v>28</v>
      </c>
      <c r="C10" s="26" t="s">
        <v>11</v>
      </c>
      <c r="D10" s="27"/>
      <c r="E10" s="27"/>
      <c r="F10" s="28"/>
      <c r="G10" s="28" t="s">
        <v>2</v>
      </c>
      <c r="H10" s="25" t="s">
        <v>3</v>
      </c>
    </row>
    <row r="11" spans="1:11" x14ac:dyDescent="0.2">
      <c r="A11" s="85" t="s">
        <v>68</v>
      </c>
      <c r="B11" s="13" t="s">
        <v>69</v>
      </c>
      <c r="C11" s="73"/>
      <c r="D11" s="4"/>
      <c r="E11" s="4"/>
      <c r="F11" s="5"/>
      <c r="G11" s="45" t="s">
        <v>49</v>
      </c>
      <c r="H11" s="6"/>
    </row>
    <row r="12" spans="1:11" x14ac:dyDescent="0.2">
      <c r="A12" s="84" t="s">
        <v>53</v>
      </c>
      <c r="B12" s="13" t="s">
        <v>47</v>
      </c>
      <c r="C12" s="72"/>
      <c r="D12" s="4"/>
      <c r="E12" s="4"/>
      <c r="F12" s="5"/>
      <c r="G12" s="45" t="s">
        <v>49</v>
      </c>
      <c r="H12" s="16"/>
    </row>
    <row r="13" spans="1:11" x14ac:dyDescent="0.2">
      <c r="A13" s="74" t="s">
        <v>163</v>
      </c>
      <c r="B13" s="13" t="s">
        <v>47</v>
      </c>
      <c r="C13" s="74"/>
      <c r="D13" s="4"/>
      <c r="E13" s="4"/>
      <c r="F13" s="5"/>
      <c r="G13" s="45"/>
      <c r="H13" s="6"/>
    </row>
    <row r="14" spans="1:11" x14ac:dyDescent="0.2">
      <c r="A14" s="84" t="s">
        <v>58</v>
      </c>
      <c r="B14" s="13" t="s">
        <v>47</v>
      </c>
      <c r="C14" s="74"/>
      <c r="D14" s="4"/>
      <c r="E14" s="4"/>
      <c r="F14" s="5"/>
      <c r="G14" s="45" t="s">
        <v>49</v>
      </c>
      <c r="H14" s="16"/>
    </row>
    <row r="15" spans="1:11" x14ac:dyDescent="0.2">
      <c r="A15" s="84" t="s">
        <v>63</v>
      </c>
      <c r="B15" s="13" t="s">
        <v>47</v>
      </c>
      <c r="C15" s="74"/>
      <c r="D15" s="4"/>
      <c r="E15" s="4"/>
      <c r="F15" s="5"/>
      <c r="G15" s="45" t="s">
        <v>49</v>
      </c>
      <c r="H15" s="16"/>
    </row>
    <row r="16" spans="1:11" x14ac:dyDescent="0.2">
      <c r="A16" s="84" t="s">
        <v>64</v>
      </c>
      <c r="B16" s="13" t="s">
        <v>47</v>
      </c>
      <c r="C16" s="74"/>
      <c r="D16" s="4"/>
      <c r="E16" s="4"/>
      <c r="F16" s="5"/>
      <c r="G16" s="45" t="s">
        <v>49</v>
      </c>
      <c r="H16" s="16"/>
    </row>
    <row r="17" spans="1:8" x14ac:dyDescent="0.2">
      <c r="A17" s="84"/>
      <c r="B17" s="13"/>
      <c r="C17" s="74"/>
      <c r="D17" s="4"/>
      <c r="E17" s="4"/>
      <c r="F17" s="5"/>
      <c r="G17" s="45"/>
      <c r="H17" s="16"/>
    </row>
    <row r="18" spans="1:8" x14ac:dyDescent="0.2">
      <c r="A18" s="71"/>
      <c r="B18" s="13"/>
      <c r="C18" s="74"/>
      <c r="D18" s="4"/>
      <c r="E18" s="4"/>
      <c r="F18" s="5"/>
      <c r="G18" s="45"/>
      <c r="H18" s="6"/>
    </row>
    <row r="19" spans="1:8" x14ac:dyDescent="0.2">
      <c r="A19" s="71"/>
      <c r="B19" s="13"/>
      <c r="C19" s="74"/>
      <c r="D19" s="4"/>
      <c r="E19" s="4"/>
      <c r="F19" s="5"/>
      <c r="G19" s="45"/>
      <c r="H19" s="6"/>
    </row>
    <row r="20" spans="1:8" x14ac:dyDescent="0.2">
      <c r="A20" s="17" t="s">
        <v>41</v>
      </c>
      <c r="B20" s="18"/>
      <c r="C20" s="19"/>
      <c r="D20" s="19"/>
      <c r="E20" s="19"/>
      <c r="F20" s="19"/>
      <c r="G20" s="19"/>
      <c r="H20" s="42"/>
    </row>
    <row r="21" spans="1:8" x14ac:dyDescent="0.2">
      <c r="A21" s="25" t="s">
        <v>1</v>
      </c>
      <c r="B21" s="26" t="s">
        <v>28</v>
      </c>
      <c r="C21" s="39" t="s">
        <v>11</v>
      </c>
      <c r="D21" s="40"/>
      <c r="E21" s="40"/>
      <c r="F21" s="40"/>
      <c r="G21" s="39" t="s">
        <v>3</v>
      </c>
      <c r="H21" s="41"/>
    </row>
    <row r="22" spans="1:8" x14ac:dyDescent="0.2">
      <c r="A22" s="16" t="s">
        <v>70</v>
      </c>
      <c r="B22" s="46" t="s">
        <v>48</v>
      </c>
      <c r="C22" s="3" t="str">
        <f>CONCATENATE(テンプレート!B5, ".entity.UIEntryStatusInfo")</f>
        <v>jp.co.isid.mos.bird.entry.nationalviewlist.entity.UIEntryStatusInfo</v>
      </c>
      <c r="D22" s="4"/>
      <c r="E22" s="4"/>
      <c r="F22" s="4"/>
      <c r="G22" s="3"/>
      <c r="H22" s="5"/>
    </row>
    <row r="23" spans="1:8" x14ac:dyDescent="0.2">
      <c r="A23" s="16" t="s">
        <v>71</v>
      </c>
      <c r="B23" s="46" t="s">
        <v>48</v>
      </c>
      <c r="C23" s="3" t="str">
        <f>CONCATENATE(テンプレート!B5, ".entity.CodCompany")</f>
        <v>jp.co.isid.mos.bird.entry.nationalviewlist.entity.CodCompany</v>
      </c>
      <c r="D23" s="4"/>
      <c r="E23" s="4"/>
      <c r="F23" s="4"/>
      <c r="G23" s="3"/>
      <c r="H23" s="5"/>
    </row>
    <row r="24" spans="1:8" x14ac:dyDescent="0.2">
      <c r="A24" s="16" t="s">
        <v>72</v>
      </c>
      <c r="B24" s="46" t="s">
        <v>48</v>
      </c>
      <c r="C24" s="3" t="str">
        <f>CONCATENATE(テンプレート!B5, ".entity.CodSibu")</f>
        <v>jp.co.isid.mos.bird.entry.nationalviewlist.entity.CodSibu</v>
      </c>
      <c r="D24" s="4"/>
      <c r="E24" s="4"/>
      <c r="F24" s="4"/>
      <c r="G24" s="3"/>
      <c r="H24" s="5"/>
    </row>
    <row r="25" spans="1:8" x14ac:dyDescent="0.2">
      <c r="A25" s="16"/>
      <c r="B25" s="13"/>
      <c r="C25" s="3"/>
      <c r="D25" s="4"/>
      <c r="E25" s="4"/>
      <c r="F25" s="4"/>
      <c r="G25" s="3"/>
      <c r="H25" s="5"/>
    </row>
    <row r="27" spans="1:8" x14ac:dyDescent="0.2">
      <c r="A27" s="32" t="s">
        <v>17</v>
      </c>
      <c r="B27" s="23"/>
      <c r="C27" s="23"/>
      <c r="D27" s="23"/>
      <c r="E27" s="23"/>
      <c r="F27" s="23"/>
      <c r="G27" s="23"/>
      <c r="H27" s="33"/>
    </row>
    <row r="28" spans="1:8" x14ac:dyDescent="0.2">
      <c r="A28" s="47" t="s">
        <v>35</v>
      </c>
      <c r="B28" s="47"/>
      <c r="C28" s="29" t="s">
        <v>36</v>
      </c>
      <c r="D28" s="30"/>
      <c r="E28" s="30"/>
      <c r="F28" s="30"/>
      <c r="G28" s="30"/>
      <c r="H28" s="31"/>
    </row>
    <row r="29" spans="1:8" x14ac:dyDescent="0.2">
      <c r="A29" s="16" t="s">
        <v>70</v>
      </c>
      <c r="B29" s="46" t="s">
        <v>43</v>
      </c>
      <c r="C29" s="3" t="str">
        <f>CONCATENATE(テンプレート!B5, ".dao.UIEntryStatusInfoDao")</f>
        <v>jp.co.isid.mos.bird.entry.nationalviewlist.dao.UIEntryStatusInfoDao</v>
      </c>
      <c r="D29" s="4"/>
      <c r="E29" s="4"/>
      <c r="F29" s="4"/>
      <c r="G29" s="4"/>
      <c r="H29" s="5"/>
    </row>
    <row r="30" spans="1:8" x14ac:dyDescent="0.2">
      <c r="A30" s="16" t="s">
        <v>71</v>
      </c>
      <c r="B30" s="46" t="s">
        <v>48</v>
      </c>
      <c r="C30" s="3" t="str">
        <f>CONCATENATE(テンプレート!B5, ".dao.CodCompanyDao")</f>
        <v>jp.co.isid.mos.bird.entry.nationalviewlist.dao.CodCompanyDao</v>
      </c>
      <c r="D30" s="4"/>
      <c r="E30" s="4"/>
      <c r="F30" s="4"/>
      <c r="G30" s="4"/>
      <c r="H30" s="5"/>
    </row>
    <row r="31" spans="1:8" x14ac:dyDescent="0.2">
      <c r="A31" s="16" t="s">
        <v>72</v>
      </c>
      <c r="B31" s="46" t="s">
        <v>48</v>
      </c>
      <c r="C31" s="3" t="str">
        <f>CONCATENATE(テンプレート!B5, ".dao.CodSibuDao")</f>
        <v>jp.co.isid.mos.bird.entry.nationalviewlist.dao.CodSibuDao</v>
      </c>
      <c r="D31" s="4"/>
      <c r="E31" s="4"/>
      <c r="F31" s="4"/>
      <c r="G31" s="4"/>
      <c r="H31" s="5"/>
    </row>
    <row r="32" spans="1:8" x14ac:dyDescent="0.2">
      <c r="A32" s="16"/>
      <c r="B32" s="46"/>
      <c r="C32" s="3"/>
      <c r="D32" s="4"/>
      <c r="E32" s="4"/>
      <c r="F32" s="4"/>
      <c r="G32" s="4"/>
      <c r="H32" s="5"/>
    </row>
    <row r="34" spans="1:8" x14ac:dyDescent="0.2">
      <c r="A34" s="32" t="s">
        <v>13</v>
      </c>
      <c r="B34" s="23"/>
      <c r="C34" s="23"/>
      <c r="D34" s="23"/>
      <c r="E34" s="23"/>
      <c r="F34" s="23"/>
      <c r="G34" s="22"/>
      <c r="H34" s="24"/>
    </row>
    <row r="35" spans="1:8" x14ac:dyDescent="0.2">
      <c r="A35" s="29" t="s">
        <v>5</v>
      </c>
      <c r="B35" s="30"/>
      <c r="C35" s="30"/>
      <c r="D35" s="30"/>
      <c r="E35" s="30"/>
      <c r="F35" s="31"/>
      <c r="G35" s="34" t="s">
        <v>31</v>
      </c>
      <c r="H35" s="36"/>
    </row>
    <row r="36" spans="1:8" x14ac:dyDescent="0.2">
      <c r="A36" s="7" t="s">
        <v>77</v>
      </c>
      <c r="B36" s="8"/>
      <c r="C36" s="8"/>
      <c r="D36" s="8"/>
      <c r="E36" s="8"/>
      <c r="F36" s="8"/>
      <c r="G36" s="11" t="s">
        <v>56</v>
      </c>
      <c r="H36" s="12" t="s">
        <v>73</v>
      </c>
    </row>
    <row r="37" spans="1:8" x14ac:dyDescent="0.2">
      <c r="A37" s="11"/>
      <c r="B37" s="10"/>
      <c r="C37" s="10"/>
      <c r="D37" s="10"/>
      <c r="E37" s="10"/>
      <c r="F37" s="10"/>
      <c r="G37" s="11" t="s">
        <v>56</v>
      </c>
      <c r="H37" s="12" t="s">
        <v>57</v>
      </c>
    </row>
    <row r="38" spans="1:8" x14ac:dyDescent="0.2">
      <c r="A38" s="11"/>
      <c r="B38" s="10"/>
      <c r="C38" s="10"/>
      <c r="D38" s="10"/>
      <c r="E38" s="10"/>
      <c r="F38" s="10"/>
      <c r="G38" s="11" t="s">
        <v>56</v>
      </c>
      <c r="H38" s="12" t="s">
        <v>164</v>
      </c>
    </row>
    <row r="39" spans="1:8" x14ac:dyDescent="0.2">
      <c r="A39" s="11"/>
      <c r="B39" s="10"/>
      <c r="C39" s="10"/>
      <c r="D39" s="10"/>
      <c r="E39" s="10"/>
      <c r="F39" s="10"/>
      <c r="G39" s="11" t="s">
        <v>56</v>
      </c>
      <c r="H39" s="12" t="s">
        <v>74</v>
      </c>
    </row>
    <row r="40" spans="1:8" x14ac:dyDescent="0.2">
      <c r="A40" s="11"/>
      <c r="B40" s="10"/>
      <c r="C40" s="10"/>
      <c r="D40" s="10"/>
      <c r="E40" s="10"/>
      <c r="F40" s="10"/>
      <c r="G40" s="11" t="s">
        <v>56</v>
      </c>
      <c r="H40" s="12" t="s">
        <v>75</v>
      </c>
    </row>
    <row r="41" spans="1:8" x14ac:dyDescent="0.2">
      <c r="A41" s="11"/>
      <c r="B41" s="10"/>
      <c r="C41" s="10"/>
      <c r="D41" s="10"/>
      <c r="E41" s="10"/>
      <c r="F41" s="10"/>
      <c r="G41" s="11" t="s">
        <v>56</v>
      </c>
      <c r="H41" s="12" t="s">
        <v>76</v>
      </c>
    </row>
    <row r="42" spans="1:8" x14ac:dyDescent="0.2">
      <c r="A42" s="13"/>
      <c r="B42" s="14"/>
      <c r="C42" s="14"/>
      <c r="D42" s="14"/>
      <c r="E42" s="14"/>
      <c r="F42" s="14"/>
      <c r="G42" s="13"/>
      <c r="H42" s="15"/>
    </row>
    <row r="43" spans="1:8" x14ac:dyDescent="0.2">
      <c r="A43" s="67" t="s">
        <v>7</v>
      </c>
      <c r="B43" s="65"/>
      <c r="C43" s="65"/>
      <c r="D43" s="65"/>
      <c r="E43" s="65"/>
      <c r="F43" s="68"/>
      <c r="G43" s="65" t="s">
        <v>31</v>
      </c>
      <c r="H43" s="66"/>
    </row>
    <row r="44" spans="1:8" x14ac:dyDescent="0.2">
      <c r="A44" s="7"/>
      <c r="B44" s="8"/>
      <c r="C44" s="8"/>
      <c r="D44" s="8"/>
      <c r="E44" s="8"/>
      <c r="F44" s="9"/>
      <c r="G44" s="8"/>
      <c r="H44" s="12"/>
    </row>
    <row r="45" spans="1:8" x14ac:dyDescent="0.2">
      <c r="A45" s="11"/>
      <c r="B45" s="10"/>
      <c r="C45" s="10"/>
      <c r="D45" s="10"/>
      <c r="E45" s="10"/>
      <c r="F45" s="12"/>
      <c r="G45" s="10"/>
      <c r="H45" s="12"/>
    </row>
    <row r="46" spans="1:8" x14ac:dyDescent="0.2">
      <c r="A46" s="11"/>
      <c r="B46" s="10"/>
      <c r="C46" s="10"/>
      <c r="D46" s="10"/>
      <c r="E46" s="10"/>
      <c r="F46" s="12"/>
      <c r="G46" s="10"/>
      <c r="H46" s="12"/>
    </row>
    <row r="47" spans="1:8" x14ac:dyDescent="0.2">
      <c r="A47" s="13"/>
      <c r="B47" s="14"/>
      <c r="C47" s="14"/>
      <c r="D47" s="14"/>
      <c r="E47" s="14"/>
      <c r="F47" s="15"/>
      <c r="G47" s="14"/>
      <c r="H47" s="15"/>
    </row>
    <row r="48" spans="1:8" x14ac:dyDescent="0.2">
      <c r="A48" s="21" t="s">
        <v>14</v>
      </c>
      <c r="B48" s="22"/>
      <c r="C48" s="22"/>
      <c r="D48" s="22"/>
      <c r="E48" s="22"/>
      <c r="F48" s="22"/>
      <c r="G48" s="22"/>
      <c r="H48" s="24"/>
    </row>
    <row r="49" spans="1:8" x14ac:dyDescent="0.2">
      <c r="A49" s="29" t="s">
        <v>6</v>
      </c>
      <c r="B49" s="30"/>
      <c r="C49" s="30"/>
      <c r="D49" s="30"/>
      <c r="E49" s="30"/>
      <c r="F49" s="30"/>
      <c r="G49" s="30"/>
      <c r="H49" s="31"/>
    </row>
    <row r="50" spans="1:8" x14ac:dyDescent="0.2">
      <c r="A50" s="7"/>
      <c r="B50" s="8"/>
      <c r="C50" s="8"/>
      <c r="D50" s="8"/>
      <c r="E50" s="8"/>
      <c r="F50" s="8"/>
      <c r="G50" s="8"/>
      <c r="H50" s="9"/>
    </row>
    <row r="51" spans="1:8" x14ac:dyDescent="0.2">
      <c r="A51" s="11" t="s">
        <v>46</v>
      </c>
      <c r="B51" s="10"/>
      <c r="C51" s="10"/>
      <c r="D51" s="10"/>
      <c r="E51" s="70"/>
      <c r="F51" s="10"/>
      <c r="G51" s="10"/>
      <c r="H51" s="12"/>
    </row>
    <row r="52" spans="1:8" x14ac:dyDescent="0.2">
      <c r="A52" s="11"/>
      <c r="B52" s="77"/>
      <c r="C52" s="10"/>
      <c r="D52" s="10"/>
      <c r="E52" s="10"/>
      <c r="F52" s="10"/>
      <c r="G52" s="10"/>
      <c r="H52" s="12"/>
    </row>
    <row r="53" spans="1:8" x14ac:dyDescent="0.2">
      <c r="A53" s="11" t="s">
        <v>66</v>
      </c>
      <c r="B53" s="10"/>
      <c r="C53" s="10"/>
      <c r="E53" s="10"/>
      <c r="F53" s="10"/>
      <c r="G53" s="10"/>
      <c r="H53" s="12"/>
    </row>
    <row r="54" spans="1:8" x14ac:dyDescent="0.2">
      <c r="A54" s="11"/>
      <c r="B54" s="10"/>
      <c r="C54" s="10"/>
      <c r="E54" s="10"/>
      <c r="F54" s="10"/>
      <c r="G54" s="10"/>
      <c r="H54" s="12"/>
    </row>
    <row r="55" spans="1:8" x14ac:dyDescent="0.2">
      <c r="A55" s="82" t="s">
        <v>78</v>
      </c>
      <c r="B55" s="10"/>
      <c r="C55" s="10"/>
      <c r="E55" s="10"/>
      <c r="F55" s="10"/>
      <c r="G55" s="10"/>
      <c r="H55" s="12"/>
    </row>
    <row r="56" spans="1:8" x14ac:dyDescent="0.2">
      <c r="A56" s="81" t="s">
        <v>44</v>
      </c>
      <c r="B56" s="10" t="s">
        <v>79</v>
      </c>
      <c r="C56" s="10"/>
      <c r="E56" s="10"/>
      <c r="F56" s="10"/>
      <c r="G56" s="10"/>
      <c r="H56" s="12"/>
    </row>
    <row r="57" spans="1:8" x14ac:dyDescent="0.2">
      <c r="A57" s="82" t="s">
        <v>90</v>
      </c>
      <c r="B57" s="10"/>
      <c r="C57" s="10"/>
      <c r="E57" s="10"/>
      <c r="F57" s="10"/>
      <c r="G57" s="10"/>
      <c r="H57" s="12"/>
    </row>
    <row r="58" spans="1:8" x14ac:dyDescent="0.2">
      <c r="A58" s="82"/>
      <c r="B58" s="10"/>
      <c r="C58" s="10"/>
      <c r="E58" s="10"/>
      <c r="F58" s="10"/>
      <c r="G58" s="10"/>
      <c r="H58" s="12"/>
    </row>
    <row r="59" spans="1:8" x14ac:dyDescent="0.2">
      <c r="A59" s="82" t="s">
        <v>89</v>
      </c>
      <c r="B59" s="10"/>
      <c r="C59" s="10"/>
      <c r="E59" s="10"/>
      <c r="F59" s="10"/>
      <c r="G59" s="10"/>
      <c r="H59" s="12"/>
    </row>
    <row r="60" spans="1:8" x14ac:dyDescent="0.2">
      <c r="A60" s="81" t="s">
        <v>44</v>
      </c>
      <c r="B60" s="10" t="s">
        <v>79</v>
      </c>
      <c r="C60" s="10"/>
      <c r="E60" s="10"/>
      <c r="F60" s="10"/>
      <c r="G60" s="10"/>
      <c r="H60" s="12"/>
    </row>
    <row r="61" spans="1:8" x14ac:dyDescent="0.2">
      <c r="A61" s="81"/>
      <c r="B61" s="10" t="s">
        <v>80</v>
      </c>
      <c r="C61" s="10"/>
      <c r="E61" s="10"/>
      <c r="F61" s="10"/>
      <c r="G61" s="10"/>
      <c r="H61" s="12"/>
    </row>
    <row r="62" spans="1:8" x14ac:dyDescent="0.2">
      <c r="A62" s="82" t="s">
        <v>88</v>
      </c>
      <c r="B62" s="10"/>
      <c r="C62" s="10"/>
      <c r="E62" s="10"/>
      <c r="F62" s="10"/>
      <c r="G62" s="10"/>
      <c r="H62" s="12"/>
    </row>
    <row r="63" spans="1:8" x14ac:dyDescent="0.2">
      <c r="A63" s="82"/>
      <c r="B63" s="10"/>
      <c r="C63" s="10"/>
      <c r="E63" s="10"/>
      <c r="F63" s="10"/>
      <c r="G63" s="10"/>
      <c r="H63" s="12"/>
    </row>
    <row r="64" spans="1:8" x14ac:dyDescent="0.2">
      <c r="A64" s="82" t="s">
        <v>87</v>
      </c>
      <c r="B64" s="10"/>
      <c r="C64" s="10"/>
      <c r="E64" s="10"/>
      <c r="F64" s="10"/>
      <c r="G64" s="10"/>
      <c r="H64" s="12"/>
    </row>
    <row r="65" spans="1:8" x14ac:dyDescent="0.2">
      <c r="A65" s="81" t="s">
        <v>44</v>
      </c>
      <c r="B65" s="10" t="s">
        <v>81</v>
      </c>
      <c r="C65" s="10"/>
      <c r="E65" s="10"/>
      <c r="F65" s="10"/>
      <c r="G65" s="10"/>
      <c r="H65" s="12"/>
    </row>
    <row r="66" spans="1:8" x14ac:dyDescent="0.2">
      <c r="A66" s="81"/>
      <c r="B66" s="10" t="s">
        <v>82</v>
      </c>
      <c r="C66" s="10"/>
      <c r="E66" s="10"/>
      <c r="F66" s="10"/>
      <c r="G66" s="10"/>
      <c r="H66" s="12"/>
    </row>
    <row r="67" spans="1:8" x14ac:dyDescent="0.2">
      <c r="A67" s="81"/>
      <c r="B67" s="10" t="s">
        <v>84</v>
      </c>
      <c r="C67" s="10"/>
      <c r="E67" s="10"/>
      <c r="F67" s="10"/>
      <c r="G67" s="10"/>
      <c r="H67" s="12"/>
    </row>
    <row r="68" spans="1:8" x14ac:dyDescent="0.2">
      <c r="A68" s="81"/>
      <c r="B68" s="10" t="s">
        <v>54</v>
      </c>
      <c r="C68" s="10"/>
      <c r="E68" s="10"/>
      <c r="F68" s="10"/>
      <c r="G68" s="10"/>
      <c r="H68" s="12"/>
    </row>
    <row r="69" spans="1:8" x14ac:dyDescent="0.2">
      <c r="A69" s="82" t="s">
        <v>85</v>
      </c>
      <c r="B69" s="10"/>
      <c r="C69" s="10"/>
      <c r="E69" s="10"/>
      <c r="F69" s="10"/>
      <c r="G69" s="10"/>
      <c r="H69" s="12"/>
    </row>
    <row r="70" spans="1:8" x14ac:dyDescent="0.2">
      <c r="A70" s="82"/>
      <c r="B70" s="10"/>
      <c r="C70" s="10"/>
      <c r="E70" s="10"/>
      <c r="F70" s="10"/>
      <c r="G70" s="10"/>
      <c r="H70" s="12"/>
    </row>
    <row r="71" spans="1:8" x14ac:dyDescent="0.2">
      <c r="A71" s="82" t="s">
        <v>86</v>
      </c>
      <c r="B71" s="10"/>
      <c r="C71" s="10"/>
      <c r="E71" s="10"/>
      <c r="F71" s="10"/>
      <c r="G71" s="10"/>
      <c r="H71" s="12"/>
    </row>
    <row r="72" spans="1:8" x14ac:dyDescent="0.2">
      <c r="A72" s="82"/>
      <c r="B72" s="10"/>
      <c r="C72" s="10"/>
      <c r="D72" s="10"/>
      <c r="E72" s="10"/>
      <c r="F72" s="10"/>
      <c r="G72" s="10"/>
      <c r="H72" s="12"/>
    </row>
    <row r="73" spans="1:8" x14ac:dyDescent="0.2">
      <c r="A73" s="79"/>
      <c r="B73" s="80"/>
      <c r="C73" s="80"/>
      <c r="D73" s="80"/>
      <c r="E73" s="80"/>
      <c r="F73" s="14"/>
      <c r="G73" s="14"/>
      <c r="H73" s="15"/>
    </row>
  </sheetData>
  <mergeCells count="4">
    <mergeCell ref="D2:E2"/>
    <mergeCell ref="G2:H2"/>
    <mergeCell ref="I2:K2"/>
    <mergeCell ref="B4:F4"/>
  </mergeCells>
  <phoneticPr fontId="2"/>
  <dataValidations count="1">
    <dataValidation type="list" allowBlank="1" showInputMessage="1" showErrorMessage="1" sqref="F6 D6" xr:uid="{FA9900B2-0A5E-41BC-9F69-C12559BACB20}">
      <formula1>$J$7:$J$9</formula1>
    </dataValidation>
  </dataValidations>
  <pageMargins left="0.78700000000000003" right="0.78700000000000003" top="0.98399999999999999" bottom="0.98399999999999999" header="0.51200000000000001" footer="0.51200000000000001"/>
  <pageSetup paperSize="9" scale="80" orientation="portrait" verticalDpi="300" r:id="rId1"/>
  <headerFooter alignWithMargins="0">
    <oddHeader>&amp;L
&amp;F&amp;C&amp;A&amp;R&amp;D</oddHeader>
    <oddFooter>&amp;LCONFIDENTIAL&amp;C株式会社 ISIDインターテクノロジー&amp;R&amp;P</oddFooter>
  </headerFooter>
  <rowBreaks count="1" manualBreakCount="1">
    <brk id="47" max="10"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8320E-79D9-4BFA-B1E2-9CA9053A5CF3}">
  <sheetPr codeName="Sheet15"/>
  <dimension ref="A1:K103"/>
  <sheetViews>
    <sheetView view="pageBreakPreview" zoomScaleNormal="100" workbookViewId="0">
      <pane ySplit="7" topLeftCell="A8" activePane="bottomLeft" state="frozen"/>
      <selection activeCell="H4" sqref="H4"/>
      <selection pane="bottomLeft" activeCell="A8" sqref="A8"/>
    </sheetView>
  </sheetViews>
  <sheetFormatPr defaultColWidth="9" defaultRowHeight="12" x14ac:dyDescent="0.2"/>
  <cols>
    <col min="1" max="1" width="17.453125" style="1" customWidth="1"/>
    <col min="2" max="2" width="10.36328125" style="1" customWidth="1"/>
    <col min="3" max="3" width="8" style="1" bestFit="1" customWidth="1"/>
    <col min="4" max="4" width="11.7265625" style="1" customWidth="1"/>
    <col min="5" max="5" width="10" style="1" customWidth="1"/>
    <col min="6" max="6" width="9.08984375" style="1" customWidth="1"/>
    <col min="7" max="7" width="7.26953125" style="1" customWidth="1"/>
    <col min="8" max="8" width="15.90625" style="1" customWidth="1"/>
    <col min="9" max="9" width="8.6328125" style="1" customWidth="1"/>
    <col min="10" max="10" width="9" style="1" hidden="1" customWidth="1"/>
    <col min="11" max="16384" width="9" style="1"/>
  </cols>
  <sheetData>
    <row r="1" spans="1:11" s="61" customFormat="1" ht="28.5" customHeight="1" thickBot="1" x14ac:dyDescent="0.25"/>
    <row r="2" spans="1:11" s="62" customFormat="1" ht="24" customHeight="1" x14ac:dyDescent="0.25">
      <c r="A2" s="64" t="s">
        <v>34</v>
      </c>
      <c r="D2" s="108" t="str">
        <f>テンプレート!D2</f>
        <v>管理番号：DN-030103-019.01
分類　　　：ロジック設計書</v>
      </c>
      <c r="E2" s="108"/>
      <c r="F2" s="63"/>
      <c r="G2" s="109" t="str">
        <f>テンプレート!G2</f>
        <v>更新者：
更新日：</v>
      </c>
      <c r="H2" s="109"/>
      <c r="I2" s="109" t="str">
        <f>テンプレート!I2</f>
        <v>作成者：ISID-IT 衣川
作成日：2006/12/27</v>
      </c>
      <c r="J2" s="109"/>
      <c r="K2" s="109"/>
    </row>
    <row r="3" spans="1:11" ht="20.25" customHeight="1" x14ac:dyDescent="0.25">
      <c r="A3" s="2" t="s">
        <v>67</v>
      </c>
    </row>
    <row r="4" spans="1:11" ht="24" customHeight="1" x14ac:dyDescent="0.2">
      <c r="A4" s="38" t="s">
        <v>4</v>
      </c>
      <c r="B4" s="110" t="s">
        <v>55</v>
      </c>
      <c r="C4" s="111"/>
      <c r="D4" s="111"/>
      <c r="E4" s="111"/>
      <c r="F4" s="112"/>
      <c r="G4" s="83" t="s">
        <v>33</v>
      </c>
      <c r="H4" s="69" t="s">
        <v>51</v>
      </c>
    </row>
    <row r="5" spans="1:11" x14ac:dyDescent="0.2">
      <c r="A5" s="37" t="s">
        <v>37</v>
      </c>
      <c r="B5" s="4" t="str">
        <f>CONCATENATE(テンプレート!B5, ".logic.impl.SearchLogicImpl")</f>
        <v>jp.co.isid.mos.bird.entry.nationalviewlist.logic.impl.SearchLogicImpl</v>
      </c>
      <c r="C5" s="4"/>
      <c r="D5" s="4"/>
      <c r="E5" s="8"/>
      <c r="F5" s="8"/>
      <c r="G5" s="8"/>
      <c r="H5" s="9"/>
    </row>
    <row r="6" spans="1:11" x14ac:dyDescent="0.2">
      <c r="A6" s="37" t="s">
        <v>38</v>
      </c>
      <c r="B6" s="4" t="str">
        <f>CONCATENATE(テンプレート!B6,"02")</f>
        <v>BEN016L02</v>
      </c>
      <c r="C6" s="48" t="s">
        <v>39</v>
      </c>
      <c r="D6" s="3" t="s">
        <v>22</v>
      </c>
      <c r="E6" s="60"/>
      <c r="F6" s="4"/>
      <c r="G6" s="59"/>
      <c r="H6" s="5"/>
      <c r="J6" s="1" t="s">
        <v>20</v>
      </c>
    </row>
    <row r="7" spans="1:11" x14ac:dyDescent="0.2">
      <c r="J7" s="1" t="s">
        <v>22</v>
      </c>
    </row>
    <row r="8" spans="1:11" x14ac:dyDescent="0.2">
      <c r="A8" s="21" t="s">
        <v>0</v>
      </c>
      <c r="B8" s="22"/>
      <c r="C8" s="23"/>
      <c r="D8" s="23"/>
      <c r="E8" s="23"/>
      <c r="F8" s="23"/>
      <c r="G8" s="22"/>
      <c r="H8" s="24"/>
      <c r="J8" s="1" t="s">
        <v>21</v>
      </c>
    </row>
    <row r="9" spans="1:11" x14ac:dyDescent="0.2">
      <c r="A9" s="17" t="s">
        <v>59</v>
      </c>
      <c r="B9" s="18"/>
      <c r="C9" s="18"/>
      <c r="D9" s="18"/>
      <c r="E9" s="18"/>
      <c r="F9" s="18"/>
      <c r="G9" s="18"/>
      <c r="H9" s="20"/>
      <c r="J9" s="1" t="s">
        <v>23</v>
      </c>
    </row>
    <row r="10" spans="1:11" x14ac:dyDescent="0.2">
      <c r="A10" s="25" t="s">
        <v>1</v>
      </c>
      <c r="B10" s="26" t="s">
        <v>28</v>
      </c>
      <c r="C10" s="26" t="s">
        <v>11</v>
      </c>
      <c r="D10" s="27"/>
      <c r="E10" s="27"/>
      <c r="F10" s="28"/>
      <c r="G10" s="28" t="s">
        <v>2</v>
      </c>
      <c r="H10" s="25" t="s">
        <v>3</v>
      </c>
    </row>
    <row r="11" spans="1:11" x14ac:dyDescent="0.2">
      <c r="A11" s="85" t="s">
        <v>68</v>
      </c>
      <c r="B11" s="13" t="s">
        <v>69</v>
      </c>
      <c r="C11" s="73"/>
      <c r="D11" s="4"/>
      <c r="E11" s="4"/>
      <c r="F11" s="5"/>
      <c r="G11" s="45" t="s">
        <v>49</v>
      </c>
      <c r="H11" s="6"/>
    </row>
    <row r="12" spans="1:11" x14ac:dyDescent="0.2">
      <c r="A12" s="85" t="s">
        <v>70</v>
      </c>
      <c r="B12" s="13" t="s">
        <v>91</v>
      </c>
      <c r="C12" s="73"/>
      <c r="D12" s="4"/>
      <c r="E12" s="4"/>
      <c r="F12" s="5"/>
      <c r="G12" s="45" t="s">
        <v>60</v>
      </c>
      <c r="H12" s="6"/>
    </row>
    <row r="13" spans="1:11" x14ac:dyDescent="0.2">
      <c r="A13" s="84" t="s">
        <v>53</v>
      </c>
      <c r="B13" s="13" t="s">
        <v>47</v>
      </c>
      <c r="C13" s="72"/>
      <c r="D13" s="4"/>
      <c r="E13" s="4"/>
      <c r="F13" s="5"/>
      <c r="G13" s="45" t="s">
        <v>49</v>
      </c>
      <c r="H13" s="16"/>
    </row>
    <row r="14" spans="1:11" x14ac:dyDescent="0.2">
      <c r="A14" s="74" t="s">
        <v>163</v>
      </c>
      <c r="B14" s="13" t="s">
        <v>47</v>
      </c>
      <c r="C14" s="74"/>
      <c r="D14" s="4"/>
      <c r="E14" s="4"/>
      <c r="F14" s="5"/>
      <c r="G14" s="45" t="s">
        <v>155</v>
      </c>
      <c r="H14" s="6"/>
    </row>
    <row r="15" spans="1:11" x14ac:dyDescent="0.2">
      <c r="A15" s="85" t="s">
        <v>92</v>
      </c>
      <c r="B15" s="13" t="s">
        <v>47</v>
      </c>
      <c r="C15" s="74"/>
      <c r="D15" s="4"/>
      <c r="E15" s="4"/>
      <c r="F15" s="5"/>
      <c r="G15" s="45" t="s">
        <v>60</v>
      </c>
      <c r="H15" s="6"/>
    </row>
    <row r="16" spans="1:11" x14ac:dyDescent="0.2">
      <c r="A16" s="74" t="s">
        <v>93</v>
      </c>
      <c r="B16" s="13" t="s">
        <v>47</v>
      </c>
      <c r="C16" s="74"/>
      <c r="D16" s="4"/>
      <c r="E16" s="4"/>
      <c r="F16" s="5"/>
      <c r="G16" s="45" t="s">
        <v>95</v>
      </c>
      <c r="H16" s="6"/>
    </row>
    <row r="17" spans="1:8" x14ac:dyDescent="0.2">
      <c r="A17" s="74" t="s">
        <v>94</v>
      </c>
      <c r="B17" s="13" t="s">
        <v>47</v>
      </c>
      <c r="C17" s="74"/>
      <c r="D17" s="4"/>
      <c r="E17" s="4"/>
      <c r="F17" s="5"/>
      <c r="G17" s="45" t="s">
        <v>95</v>
      </c>
      <c r="H17" s="6"/>
    </row>
    <row r="18" spans="1:8" x14ac:dyDescent="0.2">
      <c r="A18" s="74"/>
      <c r="B18" s="13"/>
      <c r="C18" s="74"/>
      <c r="D18" s="4"/>
      <c r="E18" s="4"/>
      <c r="F18" s="5"/>
      <c r="G18" s="45"/>
      <c r="H18" s="6"/>
    </row>
    <row r="19" spans="1:8" x14ac:dyDescent="0.2">
      <c r="A19" s="74"/>
      <c r="B19" s="13"/>
      <c r="C19" s="74"/>
      <c r="D19" s="4"/>
      <c r="E19" s="4"/>
      <c r="F19" s="5"/>
      <c r="G19" s="45"/>
      <c r="H19" s="6"/>
    </row>
    <row r="20" spans="1:8" x14ac:dyDescent="0.2">
      <c r="A20" s="71"/>
      <c r="B20" s="13"/>
      <c r="C20" s="74"/>
      <c r="D20" s="4"/>
      <c r="E20" s="4"/>
      <c r="F20" s="5"/>
      <c r="G20" s="45"/>
      <c r="H20" s="6"/>
    </row>
    <row r="21" spans="1:8" x14ac:dyDescent="0.2">
      <c r="A21" s="17" t="s">
        <v>61</v>
      </c>
      <c r="B21" s="18"/>
      <c r="C21" s="19"/>
      <c r="D21" s="19"/>
      <c r="E21" s="19"/>
      <c r="F21" s="19"/>
      <c r="G21" s="19"/>
      <c r="H21" s="42"/>
    </row>
    <row r="22" spans="1:8" x14ac:dyDescent="0.2">
      <c r="A22" s="25" t="s">
        <v>1</v>
      </c>
      <c r="B22" s="26" t="s">
        <v>28</v>
      </c>
      <c r="C22" s="39" t="s">
        <v>11</v>
      </c>
      <c r="D22" s="40"/>
      <c r="E22" s="40"/>
      <c r="F22" s="40"/>
      <c r="G22" s="39" t="s">
        <v>3</v>
      </c>
      <c r="H22" s="41"/>
    </row>
    <row r="23" spans="1:8" x14ac:dyDescent="0.2">
      <c r="A23" s="16" t="s">
        <v>113</v>
      </c>
      <c r="B23" s="46" t="s">
        <v>50</v>
      </c>
      <c r="C23" s="3" t="str">
        <f>CONCATENATE(テンプレート!B5, ".entity.UIAttendAbsentCntInfo")</f>
        <v>jp.co.isid.mos.bird.entry.nationalviewlist.entity.UIAttendAbsentCntInfo</v>
      </c>
      <c r="D23" s="4"/>
      <c r="E23" s="4"/>
      <c r="F23" s="4"/>
      <c r="G23" s="3"/>
      <c r="H23" s="5"/>
    </row>
    <row r="24" spans="1:8" x14ac:dyDescent="0.2">
      <c r="A24" s="16" t="s">
        <v>114</v>
      </c>
      <c r="B24" s="46" t="s">
        <v>50</v>
      </c>
      <c r="C24" s="3" t="str">
        <f>CONCATENATE(テンプレート!B5, ".entity.UISibuOnerStatusList")</f>
        <v>jp.co.isid.mos.bird.entry.nationalviewlist.entity.UISibuOnerStatusList</v>
      </c>
      <c r="D24" s="4"/>
      <c r="E24" s="4"/>
      <c r="F24" s="4"/>
      <c r="G24" s="3"/>
      <c r="H24" s="5"/>
    </row>
    <row r="25" spans="1:8" x14ac:dyDescent="0.2">
      <c r="A25" s="16"/>
      <c r="B25" s="46"/>
      <c r="C25" s="3"/>
      <c r="D25" s="4"/>
      <c r="E25" s="4"/>
      <c r="F25" s="4"/>
      <c r="G25" s="3"/>
      <c r="H25" s="5"/>
    </row>
    <row r="27" spans="1:8" x14ac:dyDescent="0.2">
      <c r="A27" s="32" t="s">
        <v>17</v>
      </c>
      <c r="B27" s="23"/>
      <c r="C27" s="23"/>
      <c r="D27" s="23"/>
      <c r="E27" s="23"/>
      <c r="F27" s="23"/>
      <c r="G27" s="23"/>
      <c r="H27" s="33"/>
    </row>
    <row r="28" spans="1:8" x14ac:dyDescent="0.2">
      <c r="A28" s="47" t="s">
        <v>35</v>
      </c>
      <c r="B28" s="47"/>
      <c r="C28" s="29" t="s">
        <v>36</v>
      </c>
      <c r="D28" s="30"/>
      <c r="E28" s="30"/>
      <c r="F28" s="30"/>
      <c r="G28" s="30"/>
      <c r="H28" s="31"/>
    </row>
    <row r="29" spans="1:8" x14ac:dyDescent="0.2">
      <c r="A29" s="16" t="s">
        <v>113</v>
      </c>
      <c r="B29" s="46" t="s">
        <v>50</v>
      </c>
      <c r="C29" s="3" t="str">
        <f>CONCATENATE(テンプレート!B5, ".dao.UIAttendAbsentCntInfoDao")</f>
        <v>jp.co.isid.mos.bird.entry.nationalviewlist.dao.UIAttendAbsentCntInfoDao</v>
      </c>
      <c r="D29" s="4"/>
      <c r="E29" s="4"/>
      <c r="F29" s="4"/>
      <c r="G29" s="4"/>
      <c r="H29" s="5"/>
    </row>
    <row r="30" spans="1:8" x14ac:dyDescent="0.2">
      <c r="A30" s="16" t="s">
        <v>114</v>
      </c>
      <c r="B30" s="46" t="s">
        <v>50</v>
      </c>
      <c r="C30" s="3" t="str">
        <f>CONCATENATE(テンプレート!B5, ".dao.UISibuOnerStatusListDao")</f>
        <v>jp.co.isid.mos.bird.entry.nationalviewlist.dao.UISibuOnerStatusListDao</v>
      </c>
      <c r="D30" s="4"/>
      <c r="E30" s="4"/>
      <c r="F30" s="4"/>
      <c r="G30" s="4"/>
      <c r="H30" s="5"/>
    </row>
    <row r="31" spans="1:8" x14ac:dyDescent="0.2">
      <c r="A31" s="16"/>
      <c r="B31" s="46"/>
      <c r="C31" s="3"/>
      <c r="D31" s="4"/>
      <c r="E31" s="4"/>
      <c r="F31" s="4"/>
      <c r="G31" s="4"/>
      <c r="H31" s="5"/>
    </row>
    <row r="32" spans="1:8" x14ac:dyDescent="0.2">
      <c r="A32" s="16"/>
      <c r="B32" s="46"/>
      <c r="C32" s="3"/>
      <c r="D32" s="4"/>
      <c r="E32" s="4"/>
      <c r="F32" s="4"/>
      <c r="G32" s="4"/>
      <c r="H32" s="5"/>
    </row>
    <row r="33" spans="1:8" x14ac:dyDescent="0.2">
      <c r="A33" s="16"/>
      <c r="B33" s="46"/>
      <c r="C33" s="3"/>
      <c r="D33" s="4"/>
      <c r="E33" s="4"/>
      <c r="F33" s="4"/>
      <c r="G33" s="4"/>
      <c r="H33" s="5"/>
    </row>
    <row r="35" spans="1:8" x14ac:dyDescent="0.2">
      <c r="A35" s="32" t="s">
        <v>13</v>
      </c>
      <c r="B35" s="23"/>
      <c r="C35" s="23"/>
      <c r="D35" s="23"/>
      <c r="E35" s="23"/>
      <c r="F35" s="23"/>
      <c r="G35" s="22"/>
      <c r="H35" s="24"/>
    </row>
    <row r="36" spans="1:8" x14ac:dyDescent="0.2">
      <c r="A36" s="29" t="s">
        <v>5</v>
      </c>
      <c r="B36" s="30"/>
      <c r="C36" s="30"/>
      <c r="D36" s="30"/>
      <c r="E36" s="30"/>
      <c r="F36" s="31"/>
      <c r="G36" s="34" t="s">
        <v>31</v>
      </c>
      <c r="H36" s="36"/>
    </row>
    <row r="37" spans="1:8" x14ac:dyDescent="0.2">
      <c r="A37" s="7" t="s">
        <v>77</v>
      </c>
      <c r="B37" s="8"/>
      <c r="C37" s="8"/>
      <c r="D37" s="8"/>
      <c r="E37" s="8"/>
      <c r="F37" s="8"/>
      <c r="G37" s="7" t="s">
        <v>56</v>
      </c>
      <c r="H37" s="9" t="s">
        <v>73</v>
      </c>
    </row>
    <row r="38" spans="1:8" x14ac:dyDescent="0.2">
      <c r="A38" s="11"/>
      <c r="B38" s="10"/>
      <c r="C38" s="10"/>
      <c r="D38" s="10"/>
      <c r="E38" s="10"/>
      <c r="F38" s="10"/>
      <c r="G38" s="11" t="s">
        <v>62</v>
      </c>
      <c r="H38" s="12" t="s">
        <v>96</v>
      </c>
    </row>
    <row r="39" spans="1:8" x14ac:dyDescent="0.2">
      <c r="A39" s="11"/>
      <c r="B39" s="10"/>
      <c r="C39" s="10"/>
      <c r="D39" s="10"/>
      <c r="E39" s="10"/>
      <c r="F39" s="10"/>
      <c r="G39" s="11" t="s">
        <v>62</v>
      </c>
      <c r="H39" s="12" t="s">
        <v>57</v>
      </c>
    </row>
    <row r="40" spans="1:8" x14ac:dyDescent="0.2">
      <c r="A40" s="11"/>
      <c r="B40" s="10"/>
      <c r="C40" s="10"/>
      <c r="D40" s="10"/>
      <c r="E40" s="10"/>
      <c r="F40" s="10"/>
      <c r="G40" s="11" t="s">
        <v>56</v>
      </c>
      <c r="H40" s="12" t="s">
        <v>164</v>
      </c>
    </row>
    <row r="41" spans="1:8" x14ac:dyDescent="0.2">
      <c r="A41" s="11"/>
      <c r="B41" s="10"/>
      <c r="C41" s="10"/>
      <c r="D41" s="10"/>
      <c r="E41" s="10"/>
      <c r="F41" s="10"/>
      <c r="G41" s="11" t="s">
        <v>97</v>
      </c>
      <c r="H41" s="12" t="s">
        <v>98</v>
      </c>
    </row>
    <row r="42" spans="1:8" x14ac:dyDescent="0.2">
      <c r="A42" s="11" t="s">
        <v>101</v>
      </c>
      <c r="B42" s="10"/>
      <c r="C42" s="10"/>
      <c r="D42" s="10"/>
      <c r="E42" s="10"/>
      <c r="F42" s="10"/>
      <c r="G42" s="11" t="s">
        <v>100</v>
      </c>
      <c r="H42" s="12" t="s">
        <v>103</v>
      </c>
    </row>
    <row r="43" spans="1:8" x14ac:dyDescent="0.2">
      <c r="A43" s="11" t="s">
        <v>102</v>
      </c>
      <c r="B43" s="10"/>
      <c r="C43" s="10"/>
      <c r="D43" s="10"/>
      <c r="E43" s="10"/>
      <c r="F43" s="10"/>
      <c r="G43" s="11" t="s">
        <v>97</v>
      </c>
      <c r="H43" s="12" t="s">
        <v>104</v>
      </c>
    </row>
    <row r="44" spans="1:8" x14ac:dyDescent="0.2">
      <c r="A44" s="13"/>
      <c r="B44" s="14"/>
      <c r="C44" s="14"/>
      <c r="D44" s="14"/>
      <c r="E44" s="14"/>
      <c r="F44" s="14"/>
      <c r="G44" s="13"/>
      <c r="H44" s="15"/>
    </row>
    <row r="45" spans="1:8" x14ac:dyDescent="0.2">
      <c r="A45" s="67" t="s">
        <v>7</v>
      </c>
      <c r="B45" s="65"/>
      <c r="C45" s="65"/>
      <c r="D45" s="65"/>
      <c r="E45" s="65"/>
      <c r="F45" s="68"/>
      <c r="G45" s="65" t="s">
        <v>31</v>
      </c>
      <c r="H45" s="66"/>
    </row>
    <row r="46" spans="1:8" x14ac:dyDescent="0.2">
      <c r="A46" s="7"/>
      <c r="B46" s="8"/>
      <c r="C46" s="8"/>
      <c r="D46" s="8"/>
      <c r="E46" s="8"/>
      <c r="F46" s="9"/>
      <c r="G46" s="8"/>
      <c r="H46" s="12"/>
    </row>
    <row r="47" spans="1:8" x14ac:dyDescent="0.2">
      <c r="A47" s="11"/>
      <c r="B47" s="10"/>
      <c r="C47" s="10"/>
      <c r="D47" s="10"/>
      <c r="E47" s="10"/>
      <c r="F47" s="12"/>
      <c r="G47" s="10"/>
      <c r="H47" s="12"/>
    </row>
    <row r="48" spans="1:8" x14ac:dyDescent="0.2">
      <c r="A48" s="11"/>
      <c r="B48" s="10"/>
      <c r="C48" s="10"/>
      <c r="D48" s="10"/>
      <c r="E48" s="10"/>
      <c r="F48" s="12"/>
      <c r="G48" s="10"/>
      <c r="H48" s="12"/>
    </row>
    <row r="49" spans="1:8" x14ac:dyDescent="0.2">
      <c r="A49" s="13"/>
      <c r="B49" s="14"/>
      <c r="C49" s="14"/>
      <c r="D49" s="14"/>
      <c r="E49" s="14"/>
      <c r="F49" s="15"/>
      <c r="G49" s="14"/>
      <c r="H49" s="15"/>
    </row>
    <row r="50" spans="1:8" x14ac:dyDescent="0.2">
      <c r="A50" s="21" t="s">
        <v>14</v>
      </c>
      <c r="B50" s="22"/>
      <c r="C50" s="22"/>
      <c r="D50" s="22"/>
      <c r="E50" s="22"/>
      <c r="F50" s="22"/>
      <c r="G50" s="22"/>
      <c r="H50" s="24"/>
    </row>
    <row r="51" spans="1:8" x14ac:dyDescent="0.2">
      <c r="A51" s="29" t="s">
        <v>6</v>
      </c>
      <c r="B51" s="30"/>
      <c r="C51" s="30"/>
      <c r="D51" s="30"/>
      <c r="E51" s="30"/>
      <c r="F51" s="30"/>
      <c r="G51" s="30"/>
      <c r="H51" s="31"/>
    </row>
    <row r="52" spans="1:8" x14ac:dyDescent="0.2">
      <c r="A52" s="86"/>
      <c r="B52" s="8"/>
      <c r="C52" s="8"/>
      <c r="D52" s="8"/>
      <c r="E52" s="8"/>
      <c r="F52" s="8"/>
      <c r="G52" s="8"/>
      <c r="H52" s="9"/>
    </row>
    <row r="53" spans="1:8" x14ac:dyDescent="0.2">
      <c r="A53" s="82" t="s">
        <v>65</v>
      </c>
      <c r="B53" s="10"/>
      <c r="C53" s="10"/>
      <c r="D53" s="10"/>
      <c r="E53" s="70"/>
      <c r="F53" s="10"/>
      <c r="G53" s="10"/>
      <c r="H53" s="12"/>
    </row>
    <row r="54" spans="1:8" x14ac:dyDescent="0.2">
      <c r="A54" s="82"/>
      <c r="B54" s="77"/>
      <c r="C54" s="10"/>
      <c r="D54" s="10"/>
      <c r="E54" s="10"/>
      <c r="F54" s="10"/>
      <c r="G54" s="10"/>
      <c r="H54" s="12"/>
    </row>
    <row r="55" spans="1:8" x14ac:dyDescent="0.2">
      <c r="A55" s="82" t="s">
        <v>66</v>
      </c>
      <c r="B55" s="10"/>
      <c r="C55" s="10"/>
      <c r="E55" s="10"/>
      <c r="F55" s="10"/>
      <c r="G55" s="10"/>
      <c r="H55" s="12"/>
    </row>
    <row r="56" spans="1:8" x14ac:dyDescent="0.2">
      <c r="A56" s="82"/>
      <c r="B56" s="10"/>
      <c r="C56" s="10"/>
      <c r="E56" s="10"/>
      <c r="F56" s="10"/>
      <c r="G56" s="10"/>
      <c r="H56" s="12"/>
    </row>
    <row r="57" spans="1:8" x14ac:dyDescent="0.2">
      <c r="A57" s="82" t="s">
        <v>115</v>
      </c>
      <c r="B57" s="10"/>
      <c r="C57" s="10"/>
      <c r="E57" s="10"/>
      <c r="F57" s="10"/>
      <c r="G57" s="10"/>
      <c r="H57" s="12"/>
    </row>
    <row r="58" spans="1:8" x14ac:dyDescent="0.2">
      <c r="A58" s="81" t="s">
        <v>44</v>
      </c>
      <c r="B58" s="10" t="s">
        <v>117</v>
      </c>
      <c r="C58" s="10"/>
      <c r="E58" s="10"/>
      <c r="F58" s="10"/>
      <c r="G58" s="10"/>
      <c r="H58" s="12"/>
    </row>
    <row r="59" spans="1:8" x14ac:dyDescent="0.2">
      <c r="A59" s="81"/>
      <c r="B59" s="10" t="s">
        <v>116</v>
      </c>
      <c r="C59" s="10"/>
      <c r="E59" s="10"/>
      <c r="F59" s="10"/>
      <c r="G59" s="10"/>
      <c r="H59" s="12"/>
    </row>
    <row r="60" spans="1:8" x14ac:dyDescent="0.2">
      <c r="A60" s="82"/>
      <c r="B60" s="10" t="s">
        <v>83</v>
      </c>
      <c r="C60" s="10"/>
      <c r="E60" s="10"/>
      <c r="F60" s="10"/>
      <c r="G60" s="10"/>
      <c r="H60" s="12"/>
    </row>
    <row r="61" spans="1:8" x14ac:dyDescent="0.2">
      <c r="A61" s="82"/>
      <c r="B61" s="10" t="s">
        <v>54</v>
      </c>
      <c r="C61" s="10"/>
      <c r="E61" s="10"/>
      <c r="F61" s="10"/>
      <c r="G61" s="10"/>
      <c r="H61" s="12"/>
    </row>
    <row r="62" spans="1:8" x14ac:dyDescent="0.2">
      <c r="A62" s="82"/>
      <c r="B62" s="10" t="s">
        <v>118</v>
      </c>
      <c r="C62" s="10"/>
      <c r="E62" s="10"/>
      <c r="F62" s="10"/>
      <c r="G62" s="10"/>
      <c r="H62" s="12"/>
    </row>
    <row r="63" spans="1:8" x14ac:dyDescent="0.2">
      <c r="A63" s="82"/>
      <c r="B63" s="10" t="s">
        <v>119</v>
      </c>
      <c r="C63" s="10"/>
      <c r="E63" s="10"/>
      <c r="F63" s="10"/>
      <c r="G63" s="10"/>
      <c r="H63" s="12"/>
    </row>
    <row r="64" spans="1:8" x14ac:dyDescent="0.2">
      <c r="A64" s="82"/>
      <c r="B64" s="10" t="s">
        <v>120</v>
      </c>
      <c r="C64" s="10"/>
      <c r="E64" s="10"/>
      <c r="F64" s="10"/>
      <c r="G64" s="10"/>
      <c r="H64" s="12"/>
    </row>
    <row r="65" spans="1:8" x14ac:dyDescent="0.2">
      <c r="A65" s="82"/>
      <c r="B65" s="10"/>
      <c r="C65" s="10"/>
      <c r="E65" s="10"/>
      <c r="F65" s="10"/>
      <c r="G65" s="10"/>
      <c r="H65" s="12"/>
    </row>
    <row r="66" spans="1:8" x14ac:dyDescent="0.2">
      <c r="A66" s="82" t="s">
        <v>121</v>
      </c>
      <c r="B66" s="10"/>
      <c r="C66" s="10"/>
      <c r="D66" s="10"/>
      <c r="E66" s="10"/>
      <c r="F66" s="10"/>
      <c r="G66" s="10"/>
      <c r="H66" s="12"/>
    </row>
    <row r="67" spans="1:8" x14ac:dyDescent="0.2">
      <c r="A67" s="81" t="s">
        <v>44</v>
      </c>
      <c r="B67" s="10" t="s">
        <v>79</v>
      </c>
      <c r="C67" s="10"/>
      <c r="E67" s="10"/>
      <c r="F67" s="10"/>
      <c r="G67" s="10"/>
      <c r="H67" s="12"/>
    </row>
    <row r="68" spans="1:8" x14ac:dyDescent="0.2">
      <c r="A68" s="81"/>
      <c r="B68" s="10" t="s">
        <v>80</v>
      </c>
      <c r="C68" s="10"/>
      <c r="E68" s="10"/>
      <c r="F68" s="10"/>
      <c r="G68" s="10"/>
      <c r="H68" s="12"/>
    </row>
    <row r="69" spans="1:8" x14ac:dyDescent="0.2">
      <c r="A69" s="82"/>
      <c r="B69" s="10" t="s">
        <v>116</v>
      </c>
      <c r="C69" s="10"/>
      <c r="E69" s="10"/>
      <c r="F69" s="10"/>
      <c r="G69" s="10"/>
      <c r="H69" s="12"/>
    </row>
    <row r="70" spans="1:8" x14ac:dyDescent="0.2">
      <c r="A70" s="82"/>
      <c r="B70" s="10" t="s">
        <v>83</v>
      </c>
      <c r="C70" s="10"/>
      <c r="E70" s="10"/>
      <c r="F70" s="10"/>
      <c r="G70" s="10"/>
      <c r="H70" s="12"/>
    </row>
    <row r="71" spans="1:8" x14ac:dyDescent="0.2">
      <c r="A71" s="82"/>
      <c r="B71" s="10" t="s">
        <v>54</v>
      </c>
      <c r="C71" s="10"/>
      <c r="E71" s="10"/>
      <c r="F71" s="10"/>
      <c r="G71" s="10"/>
      <c r="H71" s="12"/>
    </row>
    <row r="72" spans="1:8" x14ac:dyDescent="0.2">
      <c r="A72" s="82"/>
      <c r="B72" s="10" t="s">
        <v>118</v>
      </c>
      <c r="C72" s="10"/>
      <c r="E72" s="10"/>
      <c r="F72" s="10"/>
      <c r="G72" s="10"/>
      <c r="H72" s="12"/>
    </row>
    <row r="73" spans="1:8" x14ac:dyDescent="0.2">
      <c r="A73" s="82"/>
      <c r="B73" s="10" t="s">
        <v>119</v>
      </c>
      <c r="C73" s="10"/>
      <c r="E73" s="10"/>
      <c r="F73" s="10"/>
      <c r="G73" s="10"/>
      <c r="H73" s="12"/>
    </row>
    <row r="74" spans="1:8" x14ac:dyDescent="0.2">
      <c r="A74" s="82"/>
      <c r="B74" s="10" t="s">
        <v>120</v>
      </c>
      <c r="C74" s="10"/>
      <c r="E74" s="10"/>
      <c r="F74" s="10"/>
      <c r="G74" s="10"/>
      <c r="H74" s="12"/>
    </row>
    <row r="75" spans="1:8" x14ac:dyDescent="0.2">
      <c r="A75" s="82"/>
      <c r="B75" s="10"/>
      <c r="C75" s="10"/>
      <c r="D75" s="10"/>
      <c r="E75" s="10"/>
      <c r="F75" s="10"/>
      <c r="G75" s="10"/>
      <c r="H75" s="12"/>
    </row>
    <row r="76" spans="1:8" x14ac:dyDescent="0.2">
      <c r="A76" s="82" t="s">
        <v>122</v>
      </c>
      <c r="B76" s="10"/>
      <c r="C76" s="10"/>
      <c r="D76" s="10"/>
      <c r="E76" s="10"/>
      <c r="F76" s="10"/>
      <c r="G76" s="10"/>
      <c r="H76" s="12"/>
    </row>
    <row r="77" spans="1:8" x14ac:dyDescent="0.2">
      <c r="A77" s="82"/>
      <c r="B77" s="10"/>
      <c r="C77" s="10"/>
      <c r="E77" s="10"/>
      <c r="F77" s="10"/>
      <c r="G77" s="10"/>
      <c r="H77" s="12"/>
    </row>
    <row r="78" spans="1:8" x14ac:dyDescent="0.2">
      <c r="A78" s="82"/>
      <c r="B78" s="10"/>
      <c r="C78" s="10"/>
      <c r="E78" s="10"/>
      <c r="F78" s="10"/>
      <c r="G78" s="10"/>
      <c r="H78" s="12"/>
    </row>
    <row r="79" spans="1:8" x14ac:dyDescent="0.2">
      <c r="A79" s="82"/>
      <c r="B79" s="10"/>
      <c r="C79" s="10"/>
      <c r="E79" s="10"/>
      <c r="F79" s="10"/>
      <c r="G79" s="10"/>
      <c r="H79" s="12"/>
    </row>
    <row r="80" spans="1:8" x14ac:dyDescent="0.2">
      <c r="A80" s="82"/>
      <c r="B80" s="10"/>
      <c r="C80" s="10"/>
      <c r="E80" s="10"/>
      <c r="F80" s="10"/>
      <c r="G80" s="10"/>
      <c r="H80" s="12"/>
    </row>
    <row r="81" spans="1:8" x14ac:dyDescent="0.2">
      <c r="A81" s="82"/>
      <c r="B81" s="10"/>
      <c r="C81" s="10"/>
      <c r="D81" s="10"/>
      <c r="E81" s="10"/>
      <c r="F81" s="10"/>
      <c r="G81" s="10"/>
      <c r="H81" s="12"/>
    </row>
    <row r="82" spans="1:8" x14ac:dyDescent="0.2">
      <c r="A82" s="82"/>
      <c r="B82" s="10"/>
      <c r="C82" s="10"/>
      <c r="D82" s="10"/>
      <c r="E82" s="10"/>
      <c r="F82" s="10"/>
      <c r="G82" s="10"/>
      <c r="H82" s="12"/>
    </row>
    <row r="83" spans="1:8" x14ac:dyDescent="0.2">
      <c r="A83" s="82"/>
      <c r="B83" s="10"/>
      <c r="C83" s="10"/>
      <c r="D83" s="10"/>
      <c r="E83" s="10"/>
      <c r="F83" s="10"/>
      <c r="G83" s="10"/>
      <c r="H83" s="12"/>
    </row>
    <row r="84" spans="1:8" x14ac:dyDescent="0.2">
      <c r="A84" s="82"/>
      <c r="B84" s="10"/>
      <c r="C84" s="10"/>
      <c r="D84" s="10"/>
      <c r="E84" s="10"/>
      <c r="F84" s="10"/>
      <c r="G84" s="10"/>
      <c r="H84" s="12"/>
    </row>
    <row r="85" spans="1:8" x14ac:dyDescent="0.2">
      <c r="A85" s="82"/>
      <c r="B85" s="10"/>
      <c r="C85" s="10"/>
      <c r="D85" s="10"/>
      <c r="E85" s="10"/>
      <c r="F85" s="10"/>
      <c r="G85" s="10"/>
      <c r="H85" s="12"/>
    </row>
    <row r="86" spans="1:8" x14ac:dyDescent="0.2">
      <c r="A86" s="82"/>
      <c r="B86" s="10"/>
      <c r="C86" s="10"/>
      <c r="D86" s="10"/>
      <c r="E86" s="10"/>
      <c r="F86" s="10"/>
      <c r="G86" s="10"/>
      <c r="H86" s="12"/>
    </row>
    <row r="87" spans="1:8" x14ac:dyDescent="0.2">
      <c r="A87" s="87"/>
      <c r="B87" s="70"/>
      <c r="C87" s="70"/>
      <c r="D87" s="70"/>
      <c r="E87" s="70"/>
      <c r="F87" s="70"/>
      <c r="G87" s="70"/>
      <c r="H87" s="12"/>
    </row>
    <row r="88" spans="1:8" x14ac:dyDescent="0.2">
      <c r="A88" s="82"/>
      <c r="B88" s="10"/>
      <c r="C88" s="70"/>
      <c r="D88" s="70"/>
      <c r="E88" s="70"/>
      <c r="F88" s="70"/>
      <c r="G88" s="70"/>
      <c r="H88" s="12"/>
    </row>
    <row r="89" spans="1:8" x14ac:dyDescent="0.2">
      <c r="A89" s="82"/>
      <c r="B89" s="10"/>
      <c r="C89" s="70"/>
      <c r="D89" s="70"/>
      <c r="E89" s="70"/>
      <c r="F89" s="70"/>
      <c r="G89" s="70"/>
      <c r="H89" s="12"/>
    </row>
    <row r="90" spans="1:8" x14ac:dyDescent="0.2">
      <c r="A90" s="81"/>
      <c r="B90" s="10"/>
      <c r="C90" s="70"/>
      <c r="D90" s="70"/>
      <c r="E90" s="70"/>
      <c r="F90" s="70"/>
      <c r="G90" s="70"/>
      <c r="H90" s="12"/>
    </row>
    <row r="91" spans="1:8" x14ac:dyDescent="0.2">
      <c r="A91" s="81"/>
      <c r="B91" s="10"/>
      <c r="C91" s="70"/>
      <c r="D91" s="70"/>
      <c r="E91" s="70"/>
      <c r="F91" s="70"/>
      <c r="G91" s="70"/>
      <c r="H91" s="12"/>
    </row>
    <row r="92" spans="1:8" x14ac:dyDescent="0.2">
      <c r="A92" s="81"/>
      <c r="B92" s="10"/>
      <c r="C92" s="70"/>
      <c r="D92" s="70"/>
      <c r="E92" s="70"/>
      <c r="F92" s="70"/>
      <c r="G92" s="70"/>
      <c r="H92" s="12"/>
    </row>
    <row r="93" spans="1:8" x14ac:dyDescent="0.2">
      <c r="A93" s="11"/>
      <c r="B93" s="10"/>
      <c r="C93" s="70"/>
      <c r="D93" s="70"/>
      <c r="E93" s="70"/>
      <c r="F93" s="70"/>
      <c r="G93" s="70"/>
      <c r="H93" s="12"/>
    </row>
    <row r="94" spans="1:8" x14ac:dyDescent="0.2">
      <c r="A94" s="11"/>
      <c r="B94" s="10"/>
      <c r="C94" s="76"/>
      <c r="D94" s="76"/>
      <c r="E94" s="70"/>
      <c r="F94" s="70"/>
      <c r="G94" s="70"/>
      <c r="H94" s="12"/>
    </row>
    <row r="95" spans="1:8" x14ac:dyDescent="0.2">
      <c r="A95" s="11"/>
      <c r="B95" s="10"/>
      <c r="C95" s="70"/>
      <c r="D95" s="70"/>
      <c r="E95" s="70"/>
      <c r="F95" s="70"/>
      <c r="G95" s="70"/>
      <c r="H95" s="12"/>
    </row>
    <row r="96" spans="1:8" x14ac:dyDescent="0.2">
      <c r="A96" s="11"/>
      <c r="B96" s="10"/>
      <c r="C96" s="70"/>
      <c r="D96" s="70"/>
      <c r="E96" s="70"/>
      <c r="F96" s="70"/>
      <c r="G96" s="70"/>
      <c r="H96" s="12"/>
    </row>
    <row r="97" spans="1:8" x14ac:dyDescent="0.2">
      <c r="A97" s="11"/>
      <c r="B97" s="10"/>
      <c r="C97" s="70"/>
      <c r="D97" s="70"/>
      <c r="E97" s="70"/>
      <c r="F97" s="70"/>
      <c r="G97" s="70"/>
      <c r="H97" s="12"/>
    </row>
    <row r="98" spans="1:8" x14ac:dyDescent="0.2">
      <c r="A98" s="11"/>
      <c r="B98" s="10"/>
      <c r="C98" s="70"/>
      <c r="D98" s="70"/>
      <c r="E98" s="70"/>
      <c r="F98" s="70"/>
      <c r="G98" s="70"/>
      <c r="H98" s="12"/>
    </row>
    <row r="99" spans="1:8" x14ac:dyDescent="0.2">
      <c r="A99" s="78"/>
      <c r="B99" s="75"/>
      <c r="C99" s="75"/>
      <c r="D99" s="75"/>
      <c r="E99" s="75"/>
      <c r="F99" s="10"/>
      <c r="G99" s="10"/>
      <c r="H99" s="12"/>
    </row>
    <row r="100" spans="1:8" x14ac:dyDescent="0.2">
      <c r="A100" s="78"/>
      <c r="B100" s="75"/>
      <c r="C100" s="75"/>
      <c r="D100" s="75"/>
      <c r="E100" s="75"/>
      <c r="F100" s="10"/>
      <c r="G100" s="10"/>
      <c r="H100" s="12"/>
    </row>
    <row r="101" spans="1:8" x14ac:dyDescent="0.2">
      <c r="A101" s="78"/>
      <c r="B101" s="75"/>
      <c r="C101" s="75"/>
      <c r="D101" s="75"/>
      <c r="E101" s="75"/>
      <c r="F101" s="10"/>
      <c r="G101" s="10"/>
      <c r="H101" s="12"/>
    </row>
    <row r="102" spans="1:8" x14ac:dyDescent="0.2">
      <c r="A102" s="78"/>
      <c r="B102" s="75"/>
      <c r="C102" s="75"/>
      <c r="D102" s="75"/>
      <c r="E102" s="75"/>
      <c r="F102" s="10"/>
      <c r="G102" s="10"/>
      <c r="H102" s="12"/>
    </row>
    <row r="103" spans="1:8" x14ac:dyDescent="0.2">
      <c r="A103" s="79"/>
      <c r="B103" s="80"/>
      <c r="C103" s="80"/>
      <c r="D103" s="80"/>
      <c r="E103" s="80"/>
      <c r="F103" s="14"/>
      <c r="G103" s="14"/>
      <c r="H103" s="15"/>
    </row>
  </sheetData>
  <mergeCells count="4">
    <mergeCell ref="D2:E2"/>
    <mergeCell ref="G2:H2"/>
    <mergeCell ref="I2:K2"/>
    <mergeCell ref="B4:F4"/>
  </mergeCells>
  <phoneticPr fontId="2"/>
  <dataValidations count="1">
    <dataValidation type="list" allowBlank="1" showInputMessage="1" showErrorMessage="1" sqref="F6 D6" xr:uid="{AE75C55F-56BA-4527-B0D2-4C8FA2EB3EB5}">
      <formula1>$J$7:$J$9</formula1>
    </dataValidation>
  </dataValidations>
  <pageMargins left="0.78700000000000003" right="0.78700000000000003" top="0.98399999999999999" bottom="0.98399999999999999" header="0.51200000000000001" footer="0.51200000000000001"/>
  <pageSetup paperSize="9" scale="80" orientation="portrait" verticalDpi="300" r:id="rId1"/>
  <headerFooter alignWithMargins="0">
    <oddHeader>&amp;L
&amp;F&amp;C&amp;A&amp;R&amp;D</oddHeader>
    <oddFooter>&amp;LCONFIDENTIAL&amp;C株式会社 ISIDインターテクノロジー&amp;R&amp;P</oddFooter>
  </headerFooter>
  <rowBreaks count="1" manualBreakCount="1">
    <brk id="49" max="10"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8C170-6D4B-469C-84B9-BAD523983CD9}">
  <sheetPr codeName="Sheet16"/>
  <dimension ref="A1:K111"/>
  <sheetViews>
    <sheetView view="pageBreakPreview" zoomScaleNormal="100" workbookViewId="0">
      <pane ySplit="7" topLeftCell="A8" activePane="bottomLeft" state="frozen"/>
      <selection activeCell="H4" sqref="H4"/>
      <selection pane="bottomLeft" activeCell="A8" sqref="A8"/>
    </sheetView>
  </sheetViews>
  <sheetFormatPr defaultColWidth="9" defaultRowHeight="12" x14ac:dyDescent="0.2"/>
  <cols>
    <col min="1" max="1" width="17.453125" style="1" customWidth="1"/>
    <col min="2" max="2" width="10.36328125" style="1" customWidth="1"/>
    <col min="3" max="3" width="8" style="1" bestFit="1" customWidth="1"/>
    <col min="4" max="4" width="11.7265625" style="1" customWidth="1"/>
    <col min="5" max="5" width="10" style="1" customWidth="1"/>
    <col min="6" max="6" width="9.08984375" style="1" customWidth="1"/>
    <col min="7" max="7" width="7.26953125" style="1" customWidth="1"/>
    <col min="8" max="8" width="15.90625" style="1" customWidth="1"/>
    <col min="9" max="9" width="8.6328125" style="1" customWidth="1"/>
    <col min="10" max="10" width="9" style="1" hidden="1" customWidth="1"/>
    <col min="11" max="16384" width="9" style="1"/>
  </cols>
  <sheetData>
    <row r="1" spans="1:11" s="61" customFormat="1" ht="28.5" customHeight="1" thickBot="1" x14ac:dyDescent="0.25"/>
    <row r="2" spans="1:11" s="62" customFormat="1" ht="24" customHeight="1" x14ac:dyDescent="0.25">
      <c r="A2" s="64" t="s">
        <v>34</v>
      </c>
      <c r="D2" s="108" t="str">
        <f>テンプレート!D2</f>
        <v>管理番号：DN-030103-019.01
分類　　　：ロジック設計書</v>
      </c>
      <c r="E2" s="108"/>
      <c r="F2" s="63"/>
      <c r="G2" s="113" t="s">
        <v>214</v>
      </c>
      <c r="H2" s="113"/>
      <c r="I2" s="109" t="str">
        <f>テンプレート!I2</f>
        <v>作成者：ISID-IT 衣川
作成日：2006/12/27</v>
      </c>
      <c r="J2" s="109"/>
      <c r="K2" s="109"/>
    </row>
    <row r="3" spans="1:11" ht="20.25" customHeight="1" x14ac:dyDescent="0.25">
      <c r="A3" s="2" t="s">
        <v>110</v>
      </c>
    </row>
    <row r="4" spans="1:11" ht="24" customHeight="1" x14ac:dyDescent="0.2">
      <c r="A4" s="38" t="s">
        <v>4</v>
      </c>
      <c r="B4" s="110" t="s">
        <v>112</v>
      </c>
      <c r="C4" s="111"/>
      <c r="D4" s="111"/>
      <c r="E4" s="111"/>
      <c r="F4" s="112"/>
      <c r="G4" s="83" t="s">
        <v>33</v>
      </c>
      <c r="H4" s="69" t="s">
        <v>51</v>
      </c>
    </row>
    <row r="5" spans="1:11" x14ac:dyDescent="0.2">
      <c r="A5" s="37" t="s">
        <v>37</v>
      </c>
      <c r="B5" s="4" t="str">
        <f>CONCATENATE(テンプレート!B5, "logic.impl.CsvOutputLogicImpl")</f>
        <v>jp.co.isid.mos.bird.entry.nationalviewlistlogic.impl.CsvOutputLogicImpl</v>
      </c>
      <c r="C5" s="4"/>
      <c r="D5" s="4"/>
      <c r="E5" s="8"/>
      <c r="F5" s="8"/>
      <c r="G5" s="8"/>
      <c r="H5" s="9"/>
    </row>
    <row r="6" spans="1:11" x14ac:dyDescent="0.2">
      <c r="A6" s="37" t="s">
        <v>38</v>
      </c>
      <c r="B6" s="4" t="str">
        <f>CONCATENATE(テンプレート!B6,"03")</f>
        <v>BEN016L03</v>
      </c>
      <c r="C6" s="48" t="s">
        <v>39</v>
      </c>
      <c r="D6" s="3" t="s">
        <v>22</v>
      </c>
      <c r="E6" s="60"/>
      <c r="F6" s="4"/>
      <c r="G6" s="59"/>
      <c r="H6" s="5"/>
      <c r="J6" s="1" t="s">
        <v>20</v>
      </c>
    </row>
    <row r="7" spans="1:11" x14ac:dyDescent="0.2">
      <c r="J7" s="1" t="s">
        <v>22</v>
      </c>
    </row>
    <row r="8" spans="1:11" x14ac:dyDescent="0.2">
      <c r="A8" s="21" t="s">
        <v>0</v>
      </c>
      <c r="B8" s="22"/>
      <c r="C8" s="23"/>
      <c r="D8" s="23"/>
      <c r="E8" s="23"/>
      <c r="F8" s="23"/>
      <c r="G8" s="22"/>
      <c r="H8" s="24"/>
      <c r="J8" s="1" t="s">
        <v>21</v>
      </c>
    </row>
    <row r="9" spans="1:11" x14ac:dyDescent="0.2">
      <c r="A9" s="17" t="s">
        <v>105</v>
      </c>
      <c r="B9" s="18"/>
      <c r="C9" s="18"/>
      <c r="D9" s="18"/>
      <c r="E9" s="18"/>
      <c r="F9" s="18"/>
      <c r="G9" s="18"/>
      <c r="H9" s="20"/>
      <c r="J9" s="1" t="s">
        <v>23</v>
      </c>
    </row>
    <row r="10" spans="1:11" x14ac:dyDescent="0.2">
      <c r="A10" s="25" t="s">
        <v>1</v>
      </c>
      <c r="B10" s="26" t="s">
        <v>28</v>
      </c>
      <c r="C10" s="26" t="s">
        <v>11</v>
      </c>
      <c r="D10" s="27"/>
      <c r="E10" s="27"/>
      <c r="F10" s="28"/>
      <c r="G10" s="28" t="s">
        <v>2</v>
      </c>
      <c r="H10" s="25" t="s">
        <v>3</v>
      </c>
    </row>
    <row r="11" spans="1:11" x14ac:dyDescent="0.2">
      <c r="A11" s="85" t="s">
        <v>170</v>
      </c>
      <c r="B11" s="13" t="s">
        <v>171</v>
      </c>
      <c r="C11" s="73" t="s">
        <v>172</v>
      </c>
      <c r="D11" s="4"/>
      <c r="E11" s="4"/>
      <c r="F11" s="5"/>
      <c r="G11" s="45" t="s">
        <v>106</v>
      </c>
      <c r="H11" s="6"/>
    </row>
    <row r="12" spans="1:11" x14ac:dyDescent="0.2">
      <c r="A12" s="84"/>
      <c r="B12" s="13"/>
      <c r="C12" s="72"/>
      <c r="D12" s="4"/>
      <c r="E12" s="4"/>
      <c r="F12" s="5"/>
      <c r="G12" s="45"/>
      <c r="H12" s="16"/>
    </row>
    <row r="13" spans="1:11" x14ac:dyDescent="0.2">
      <c r="A13" s="74"/>
      <c r="B13" s="13"/>
      <c r="C13" s="74"/>
      <c r="D13" s="4"/>
      <c r="E13" s="4"/>
      <c r="F13" s="5"/>
      <c r="G13" s="45"/>
      <c r="H13" s="6"/>
    </row>
    <row r="14" spans="1:11" x14ac:dyDescent="0.2">
      <c r="A14" s="85"/>
      <c r="B14" s="13"/>
      <c r="C14" s="74"/>
      <c r="D14" s="4"/>
      <c r="E14" s="4"/>
      <c r="F14" s="5"/>
      <c r="G14" s="45"/>
      <c r="H14" s="6"/>
    </row>
    <row r="15" spans="1:11" x14ac:dyDescent="0.2">
      <c r="A15" s="74"/>
      <c r="B15" s="13"/>
      <c r="C15" s="74"/>
      <c r="D15" s="4"/>
      <c r="E15" s="4"/>
      <c r="F15" s="5"/>
      <c r="G15" s="45"/>
      <c r="H15" s="6"/>
    </row>
    <row r="16" spans="1:11" x14ac:dyDescent="0.2">
      <c r="A16" s="74"/>
      <c r="B16" s="13"/>
      <c r="C16" s="74"/>
      <c r="D16" s="4"/>
      <c r="E16" s="4"/>
      <c r="F16" s="5"/>
      <c r="G16" s="45"/>
      <c r="H16" s="6"/>
    </row>
    <row r="17" spans="1:8" x14ac:dyDescent="0.2">
      <c r="A17" s="74"/>
      <c r="B17" s="13"/>
      <c r="C17" s="74"/>
      <c r="D17" s="4"/>
      <c r="E17" s="4"/>
      <c r="F17" s="5"/>
      <c r="G17" s="45"/>
      <c r="H17" s="6"/>
    </row>
    <row r="18" spans="1:8" x14ac:dyDescent="0.2">
      <c r="A18" s="74"/>
      <c r="B18" s="13"/>
      <c r="C18" s="74"/>
      <c r="D18" s="4"/>
      <c r="E18" s="4"/>
      <c r="F18" s="5"/>
      <c r="G18" s="45"/>
      <c r="H18" s="6"/>
    </row>
    <row r="19" spans="1:8" x14ac:dyDescent="0.2">
      <c r="A19" s="71"/>
      <c r="B19" s="13"/>
      <c r="C19" s="74"/>
      <c r="D19" s="4"/>
      <c r="E19" s="4"/>
      <c r="F19" s="5"/>
      <c r="G19" s="45"/>
      <c r="H19" s="6"/>
    </row>
    <row r="20" spans="1:8" x14ac:dyDescent="0.2">
      <c r="A20" s="17" t="s">
        <v>173</v>
      </c>
      <c r="B20" s="18"/>
      <c r="C20" s="19"/>
      <c r="D20" s="19"/>
      <c r="E20" s="19"/>
      <c r="F20" s="19"/>
      <c r="G20" s="19"/>
      <c r="H20" s="42"/>
    </row>
    <row r="21" spans="1:8" x14ac:dyDescent="0.2">
      <c r="A21" s="25" t="s">
        <v>1</v>
      </c>
      <c r="B21" s="26" t="s">
        <v>28</v>
      </c>
      <c r="C21" s="39" t="s">
        <v>11</v>
      </c>
      <c r="D21" s="40"/>
      <c r="E21" s="40"/>
      <c r="F21" s="40"/>
      <c r="G21" s="39" t="s">
        <v>3</v>
      </c>
      <c r="H21" s="41"/>
    </row>
    <row r="22" spans="1:8" x14ac:dyDescent="0.2">
      <c r="A22" s="16" t="s">
        <v>144</v>
      </c>
      <c r="B22" s="46" t="s">
        <v>174</v>
      </c>
      <c r="C22" s="3"/>
      <c r="D22" s="4"/>
      <c r="E22" s="4"/>
      <c r="F22" s="4"/>
      <c r="G22" s="3"/>
      <c r="H22" s="5"/>
    </row>
    <row r="23" spans="1:8" x14ac:dyDescent="0.2">
      <c r="A23" s="16"/>
      <c r="B23" s="46"/>
      <c r="C23" s="3"/>
      <c r="D23" s="4"/>
      <c r="E23" s="4"/>
      <c r="F23" s="4"/>
      <c r="G23" s="3"/>
      <c r="H23" s="5"/>
    </row>
    <row r="24" spans="1:8" x14ac:dyDescent="0.2">
      <c r="A24" s="17" t="s">
        <v>175</v>
      </c>
      <c r="B24" s="18"/>
      <c r="C24" s="19"/>
      <c r="D24" s="19"/>
      <c r="E24" s="19"/>
      <c r="F24" s="19"/>
      <c r="G24" s="19"/>
      <c r="H24" s="42"/>
    </row>
    <row r="25" spans="1:8" x14ac:dyDescent="0.2">
      <c r="A25" s="25" t="s">
        <v>1</v>
      </c>
      <c r="B25" s="26" t="s">
        <v>28</v>
      </c>
      <c r="C25" s="39" t="s">
        <v>11</v>
      </c>
      <c r="D25" s="40"/>
      <c r="E25" s="40"/>
      <c r="F25" s="40"/>
      <c r="G25" s="39" t="s">
        <v>3</v>
      </c>
      <c r="H25" s="41"/>
    </row>
    <row r="26" spans="1:8" x14ac:dyDescent="0.2">
      <c r="A26" s="16" t="s">
        <v>145</v>
      </c>
      <c r="B26" s="46" t="s">
        <v>43</v>
      </c>
      <c r="C26" s="3" t="str">
        <f>CONCATENATE(テンプレート!B5, ".entity.UICsvStatusList")</f>
        <v>jp.co.isid.mos.bird.entry.nationalviewlist.entity.UICsvStatusList</v>
      </c>
      <c r="D26" s="4"/>
      <c r="E26" s="4"/>
      <c r="F26" s="4"/>
      <c r="G26" s="3"/>
      <c r="H26" s="5"/>
    </row>
    <row r="27" spans="1:8" x14ac:dyDescent="0.2">
      <c r="A27" s="16"/>
      <c r="B27" s="46"/>
      <c r="C27" s="3"/>
      <c r="D27" s="4"/>
      <c r="E27" s="4"/>
      <c r="F27" s="4"/>
      <c r="G27" s="3"/>
      <c r="H27" s="5"/>
    </row>
    <row r="28" spans="1:8" x14ac:dyDescent="0.2">
      <c r="A28" s="16"/>
      <c r="B28" s="46"/>
      <c r="C28" s="3"/>
      <c r="D28" s="4"/>
      <c r="E28" s="4"/>
      <c r="F28" s="4"/>
      <c r="G28" s="3"/>
      <c r="H28" s="5"/>
    </row>
    <row r="30" spans="1:8" x14ac:dyDescent="0.2">
      <c r="A30" s="32" t="s">
        <v>17</v>
      </c>
      <c r="B30" s="23"/>
      <c r="C30" s="23"/>
      <c r="D30" s="23"/>
      <c r="E30" s="23"/>
      <c r="F30" s="23"/>
      <c r="G30" s="23"/>
      <c r="H30" s="33"/>
    </row>
    <row r="31" spans="1:8" x14ac:dyDescent="0.2">
      <c r="A31" s="47" t="s">
        <v>35</v>
      </c>
      <c r="B31" s="47"/>
      <c r="C31" s="29" t="s">
        <v>36</v>
      </c>
      <c r="D31" s="30"/>
      <c r="E31" s="30"/>
      <c r="F31" s="30"/>
      <c r="G31" s="30"/>
      <c r="H31" s="31"/>
    </row>
    <row r="32" spans="1:8" x14ac:dyDescent="0.2">
      <c r="A32" s="16" t="s">
        <v>143</v>
      </c>
      <c r="B32" s="46" t="s">
        <v>176</v>
      </c>
      <c r="C32" s="3" t="str">
        <f>CONCATENATE(テンプレート!B5, ".dao.UICsvStatusListDao")</f>
        <v>jp.co.isid.mos.bird.entry.nationalviewlist.dao.UICsvStatusListDao</v>
      </c>
      <c r="D32" s="4"/>
      <c r="E32" s="4"/>
      <c r="F32" s="4"/>
      <c r="G32" s="4"/>
      <c r="H32" s="5"/>
    </row>
    <row r="33" spans="1:8" x14ac:dyDescent="0.2">
      <c r="A33" s="88" t="s">
        <v>189</v>
      </c>
      <c r="B33" s="89" t="s">
        <v>190</v>
      </c>
      <c r="C33" s="90" t="s">
        <v>212</v>
      </c>
      <c r="D33" s="91"/>
      <c r="E33" s="91"/>
      <c r="F33" s="91"/>
      <c r="G33" s="91"/>
      <c r="H33" s="92"/>
    </row>
    <row r="34" spans="1:8" x14ac:dyDescent="0.2">
      <c r="A34" s="16"/>
      <c r="B34" s="46"/>
      <c r="C34" s="3"/>
      <c r="D34" s="4"/>
      <c r="E34" s="4"/>
      <c r="F34" s="4"/>
      <c r="G34" s="4"/>
      <c r="H34" s="5"/>
    </row>
    <row r="36" spans="1:8" x14ac:dyDescent="0.2">
      <c r="A36" s="32" t="s">
        <v>13</v>
      </c>
      <c r="B36" s="23"/>
      <c r="C36" s="23"/>
      <c r="D36" s="23"/>
      <c r="E36" s="23"/>
      <c r="F36" s="23"/>
      <c r="G36" s="22"/>
      <c r="H36" s="24"/>
    </row>
    <row r="37" spans="1:8" x14ac:dyDescent="0.2">
      <c r="A37" s="29" t="s">
        <v>5</v>
      </c>
      <c r="B37" s="30"/>
      <c r="C37" s="30"/>
      <c r="D37" s="30"/>
      <c r="E37" s="30"/>
      <c r="F37" s="31"/>
      <c r="G37" s="34" t="s">
        <v>31</v>
      </c>
      <c r="H37" s="36"/>
    </row>
    <row r="38" spans="1:8" x14ac:dyDescent="0.2">
      <c r="A38" s="7" t="s">
        <v>99</v>
      </c>
      <c r="B38" s="8"/>
      <c r="C38" s="8"/>
      <c r="D38" s="8"/>
      <c r="E38" s="8"/>
      <c r="F38" s="8"/>
      <c r="G38" s="11" t="s">
        <v>107</v>
      </c>
      <c r="H38" s="12" t="s">
        <v>177</v>
      </c>
    </row>
    <row r="39" spans="1:8" x14ac:dyDescent="0.2">
      <c r="A39" s="11"/>
      <c r="B39" s="10"/>
      <c r="C39" s="10"/>
      <c r="D39" s="10"/>
      <c r="E39" s="10"/>
      <c r="F39" s="10"/>
      <c r="G39" s="11"/>
      <c r="H39" s="12"/>
    </row>
    <row r="40" spans="1:8" x14ac:dyDescent="0.2">
      <c r="A40" s="11"/>
      <c r="B40" s="10"/>
      <c r="C40" s="10"/>
      <c r="D40" s="10"/>
      <c r="E40" s="10"/>
      <c r="F40" s="10"/>
      <c r="G40" s="11"/>
      <c r="H40" s="12"/>
    </row>
    <row r="41" spans="1:8" x14ac:dyDescent="0.2">
      <c r="A41" s="13"/>
      <c r="B41" s="14"/>
      <c r="C41" s="14"/>
      <c r="D41" s="14"/>
      <c r="E41" s="14"/>
      <c r="F41" s="14"/>
      <c r="G41" s="13"/>
      <c r="H41" s="15"/>
    </row>
    <row r="42" spans="1:8" x14ac:dyDescent="0.2">
      <c r="A42" s="67" t="s">
        <v>7</v>
      </c>
      <c r="B42" s="65"/>
      <c r="C42" s="65"/>
      <c r="D42" s="65"/>
      <c r="E42" s="65"/>
      <c r="F42" s="68"/>
      <c r="G42" s="65" t="s">
        <v>31</v>
      </c>
      <c r="H42" s="66"/>
    </row>
    <row r="43" spans="1:8" x14ac:dyDescent="0.2">
      <c r="A43" s="7"/>
      <c r="B43" s="8"/>
      <c r="C43" s="8"/>
      <c r="D43" s="8"/>
      <c r="E43" s="8"/>
      <c r="F43" s="9"/>
      <c r="G43" s="8"/>
      <c r="H43" s="12"/>
    </row>
    <row r="44" spans="1:8" x14ac:dyDescent="0.2">
      <c r="A44" s="11"/>
      <c r="B44" s="10"/>
      <c r="C44" s="10"/>
      <c r="D44" s="10"/>
      <c r="E44" s="10"/>
      <c r="F44" s="12"/>
      <c r="G44" s="10"/>
      <c r="H44" s="12"/>
    </row>
    <row r="45" spans="1:8" x14ac:dyDescent="0.2">
      <c r="A45" s="11"/>
      <c r="B45" s="10"/>
      <c r="C45" s="10"/>
      <c r="D45" s="10"/>
      <c r="E45" s="10"/>
      <c r="F45" s="12"/>
      <c r="G45" s="10"/>
      <c r="H45" s="12"/>
    </row>
    <row r="46" spans="1:8" x14ac:dyDescent="0.2">
      <c r="A46" s="13"/>
      <c r="B46" s="14"/>
      <c r="C46" s="14"/>
      <c r="D46" s="14"/>
      <c r="E46" s="14"/>
      <c r="F46" s="15"/>
      <c r="G46" s="14"/>
      <c r="H46" s="15"/>
    </row>
    <row r="47" spans="1:8" x14ac:dyDescent="0.2">
      <c r="A47" s="21" t="s">
        <v>14</v>
      </c>
      <c r="B47" s="22"/>
      <c r="C47" s="22"/>
      <c r="D47" s="22"/>
      <c r="E47" s="22"/>
      <c r="F47" s="22"/>
      <c r="G47" s="22"/>
      <c r="H47" s="24"/>
    </row>
    <row r="48" spans="1:8" x14ac:dyDescent="0.2">
      <c r="A48" s="29" t="s">
        <v>123</v>
      </c>
      <c r="B48" s="30"/>
      <c r="C48" s="30"/>
      <c r="D48" s="30"/>
      <c r="E48" s="30"/>
      <c r="F48" s="30"/>
      <c r="G48" s="30"/>
      <c r="H48" s="31"/>
    </row>
    <row r="49" spans="1:8" x14ac:dyDescent="0.2">
      <c r="A49" s="86"/>
      <c r="B49" s="8"/>
      <c r="C49" s="8"/>
      <c r="D49" s="8"/>
      <c r="E49" s="8"/>
      <c r="F49" s="8"/>
      <c r="G49" s="8"/>
      <c r="H49" s="9"/>
    </row>
    <row r="50" spans="1:8" x14ac:dyDescent="0.2">
      <c r="A50" s="82" t="s">
        <v>178</v>
      </c>
      <c r="B50" s="10"/>
      <c r="C50" s="10"/>
      <c r="D50" s="10"/>
      <c r="E50" s="70"/>
      <c r="F50" s="10"/>
      <c r="G50" s="10"/>
      <c r="H50" s="12"/>
    </row>
    <row r="51" spans="1:8" x14ac:dyDescent="0.2">
      <c r="A51" s="82" t="s">
        <v>133</v>
      </c>
      <c r="B51" s="77"/>
      <c r="C51" s="10"/>
      <c r="D51" s="10"/>
      <c r="E51" s="10"/>
      <c r="F51" s="10"/>
      <c r="G51" s="10"/>
      <c r="H51" s="12"/>
    </row>
    <row r="52" spans="1:8" x14ac:dyDescent="0.2">
      <c r="A52" s="82"/>
      <c r="B52" s="10" t="s">
        <v>179</v>
      </c>
      <c r="C52" s="10"/>
      <c r="D52" s="10"/>
      <c r="E52" s="10"/>
      <c r="F52" s="10"/>
      <c r="G52" s="10"/>
      <c r="H52" s="12"/>
    </row>
    <row r="53" spans="1:8" x14ac:dyDescent="0.2">
      <c r="A53" s="82"/>
      <c r="B53" s="10" t="s">
        <v>180</v>
      </c>
      <c r="D53" s="10"/>
      <c r="E53" s="10"/>
      <c r="F53" s="10"/>
      <c r="G53" s="10"/>
      <c r="H53" s="12"/>
    </row>
    <row r="54" spans="1:8" x14ac:dyDescent="0.2">
      <c r="A54" s="82"/>
      <c r="B54" s="10" t="s">
        <v>181</v>
      </c>
      <c r="E54" s="10"/>
      <c r="F54" s="10"/>
      <c r="G54" s="10"/>
      <c r="H54" s="12"/>
    </row>
    <row r="55" spans="1:8" x14ac:dyDescent="0.2">
      <c r="A55" s="82"/>
      <c r="B55" s="77"/>
      <c r="C55" s="10"/>
      <c r="D55" s="10"/>
      <c r="E55" s="10"/>
      <c r="F55" s="10"/>
      <c r="G55" s="10"/>
      <c r="H55" s="12"/>
    </row>
    <row r="56" spans="1:8" x14ac:dyDescent="0.2">
      <c r="A56" s="82" t="s">
        <v>182</v>
      </c>
      <c r="B56" s="10"/>
      <c r="C56" s="10"/>
      <c r="E56" s="10"/>
      <c r="F56" s="10"/>
      <c r="G56" s="10"/>
      <c r="H56" s="12"/>
    </row>
    <row r="57" spans="1:8" x14ac:dyDescent="0.2">
      <c r="A57" s="82" t="s">
        <v>134</v>
      </c>
      <c r="B57" s="77"/>
      <c r="C57" s="10"/>
      <c r="D57" s="10"/>
      <c r="E57" s="10"/>
      <c r="F57" s="10"/>
      <c r="G57" s="10"/>
      <c r="H57" s="12"/>
    </row>
    <row r="58" spans="1:8" x14ac:dyDescent="0.2">
      <c r="A58" s="82"/>
      <c r="B58" s="10" t="s">
        <v>179</v>
      </c>
      <c r="C58" s="10"/>
      <c r="D58" s="10"/>
      <c r="E58" s="10"/>
      <c r="F58" s="10"/>
      <c r="G58" s="10"/>
      <c r="H58" s="12"/>
    </row>
    <row r="59" spans="1:8" x14ac:dyDescent="0.2">
      <c r="A59" s="82"/>
      <c r="B59" s="10" t="s">
        <v>180</v>
      </c>
      <c r="D59" s="10"/>
      <c r="E59" s="10"/>
      <c r="F59" s="10"/>
      <c r="G59" s="10"/>
      <c r="H59" s="12"/>
    </row>
    <row r="60" spans="1:8" x14ac:dyDescent="0.2">
      <c r="A60" s="82"/>
      <c r="B60" s="10" t="s">
        <v>181</v>
      </c>
      <c r="E60" s="10"/>
      <c r="F60" s="10"/>
      <c r="G60" s="10"/>
      <c r="H60" s="12"/>
    </row>
    <row r="61" spans="1:8" x14ac:dyDescent="0.2">
      <c r="A61" s="82"/>
      <c r="B61" s="10"/>
      <c r="C61" s="10"/>
      <c r="E61" s="10"/>
      <c r="F61" s="10"/>
      <c r="G61" s="10"/>
      <c r="H61" s="12"/>
    </row>
    <row r="62" spans="1:8" x14ac:dyDescent="0.2">
      <c r="A62" s="82" t="s">
        <v>183</v>
      </c>
      <c r="B62" s="10"/>
      <c r="C62" s="10"/>
      <c r="E62" s="10"/>
      <c r="F62" s="10"/>
      <c r="G62" s="10"/>
      <c r="H62" s="12"/>
    </row>
    <row r="63" spans="1:8" x14ac:dyDescent="0.2">
      <c r="A63" s="82" t="s">
        <v>132</v>
      </c>
      <c r="B63" s="77"/>
      <c r="C63" s="10"/>
      <c r="D63" s="10"/>
      <c r="E63" s="10"/>
      <c r="F63" s="10"/>
      <c r="G63" s="10"/>
      <c r="H63" s="12"/>
    </row>
    <row r="64" spans="1:8" x14ac:dyDescent="0.2">
      <c r="A64" s="82"/>
      <c r="B64" s="10" t="s">
        <v>179</v>
      </c>
      <c r="C64" s="10"/>
      <c r="D64" s="10"/>
      <c r="E64" s="10"/>
      <c r="F64" s="10"/>
      <c r="G64" s="10"/>
      <c r="H64" s="12"/>
    </row>
    <row r="65" spans="1:8" x14ac:dyDescent="0.2">
      <c r="A65" s="82"/>
      <c r="B65" s="10" t="s">
        <v>180</v>
      </c>
      <c r="C65" s="10"/>
      <c r="D65" s="10"/>
      <c r="E65" s="10"/>
      <c r="F65" s="10"/>
      <c r="G65" s="10"/>
      <c r="H65" s="12"/>
    </row>
    <row r="66" spans="1:8" x14ac:dyDescent="0.2">
      <c r="A66" s="82"/>
      <c r="B66" s="10" t="s">
        <v>181</v>
      </c>
      <c r="C66" s="10"/>
      <c r="E66" s="10"/>
      <c r="F66" s="10"/>
      <c r="G66" s="10"/>
      <c r="H66" s="12"/>
    </row>
    <row r="67" spans="1:8" x14ac:dyDescent="0.2">
      <c r="A67" s="82"/>
      <c r="B67" s="10"/>
      <c r="C67" s="10"/>
      <c r="E67" s="10"/>
      <c r="F67" s="10"/>
      <c r="G67" s="10"/>
      <c r="H67" s="12"/>
    </row>
    <row r="68" spans="1:8" x14ac:dyDescent="0.2">
      <c r="A68" s="82"/>
      <c r="B68" s="10"/>
      <c r="C68" s="10"/>
      <c r="D68" s="10"/>
      <c r="E68" s="10"/>
      <c r="F68" s="10"/>
      <c r="G68" s="10"/>
      <c r="H68" s="12"/>
    </row>
    <row r="69" spans="1:8" x14ac:dyDescent="0.2">
      <c r="A69" s="82"/>
      <c r="B69" s="10"/>
      <c r="C69" s="10"/>
      <c r="D69" s="10"/>
      <c r="E69" s="10"/>
      <c r="F69" s="10"/>
      <c r="G69" s="10"/>
      <c r="H69" s="12"/>
    </row>
    <row r="70" spans="1:8" x14ac:dyDescent="0.2">
      <c r="A70" s="82"/>
      <c r="B70" s="10"/>
      <c r="C70" s="10"/>
      <c r="D70" s="10"/>
      <c r="E70" s="10"/>
      <c r="F70" s="10"/>
      <c r="G70" s="10"/>
      <c r="H70" s="12"/>
    </row>
    <row r="71" spans="1:8" x14ac:dyDescent="0.2">
      <c r="A71" s="82"/>
      <c r="B71" s="10"/>
      <c r="C71" s="10"/>
      <c r="D71" s="10"/>
      <c r="E71" s="10"/>
      <c r="F71" s="10"/>
      <c r="G71" s="10"/>
      <c r="H71" s="12"/>
    </row>
    <row r="72" spans="1:8" x14ac:dyDescent="0.2">
      <c r="A72" s="82"/>
      <c r="B72" s="10"/>
      <c r="C72" s="10"/>
      <c r="D72" s="10"/>
      <c r="E72" s="10"/>
      <c r="F72" s="10"/>
      <c r="G72" s="10"/>
      <c r="H72" s="12"/>
    </row>
    <row r="73" spans="1:8" x14ac:dyDescent="0.2">
      <c r="A73" s="82"/>
      <c r="B73" s="10"/>
      <c r="C73" s="10"/>
      <c r="D73" s="10"/>
      <c r="E73" s="10"/>
      <c r="F73" s="10"/>
      <c r="G73" s="10"/>
      <c r="H73" s="12"/>
    </row>
    <row r="74" spans="1:8" x14ac:dyDescent="0.2">
      <c r="A74" s="82"/>
      <c r="B74" s="10"/>
      <c r="C74" s="10"/>
      <c r="D74" s="10"/>
      <c r="E74" s="10"/>
      <c r="F74" s="10"/>
      <c r="G74" s="10"/>
      <c r="H74" s="12"/>
    </row>
    <row r="75" spans="1:8" x14ac:dyDescent="0.2">
      <c r="A75" s="34" t="s">
        <v>124</v>
      </c>
      <c r="B75" s="35"/>
      <c r="C75" s="35"/>
      <c r="D75" s="35"/>
      <c r="E75" s="35"/>
      <c r="F75" s="35"/>
      <c r="G75" s="35"/>
      <c r="H75" s="36"/>
    </row>
    <row r="76" spans="1:8" x14ac:dyDescent="0.2">
      <c r="A76" s="82"/>
      <c r="B76" s="10"/>
      <c r="C76" s="10"/>
      <c r="E76" s="10"/>
      <c r="F76" s="10"/>
      <c r="G76" s="10"/>
      <c r="H76" s="12"/>
    </row>
    <row r="77" spans="1:8" x14ac:dyDescent="0.2">
      <c r="A77" s="82" t="s">
        <v>125</v>
      </c>
      <c r="B77" s="10"/>
      <c r="C77" s="10"/>
      <c r="E77" s="10"/>
      <c r="F77" s="10"/>
      <c r="G77" s="10"/>
      <c r="H77" s="12"/>
    </row>
    <row r="78" spans="1:8" x14ac:dyDescent="0.2">
      <c r="A78" s="82"/>
      <c r="B78" s="10"/>
      <c r="C78" s="10"/>
      <c r="E78" s="10"/>
      <c r="F78" s="10"/>
      <c r="G78" s="10"/>
      <c r="H78" s="12"/>
    </row>
    <row r="79" spans="1:8" x14ac:dyDescent="0.2">
      <c r="A79" s="82" t="s">
        <v>184</v>
      </c>
      <c r="B79" s="10"/>
      <c r="C79" s="10"/>
      <c r="E79" s="10"/>
      <c r="F79" s="10"/>
      <c r="G79" s="10"/>
      <c r="H79" s="12"/>
    </row>
    <row r="80" spans="1:8" x14ac:dyDescent="0.2">
      <c r="A80" s="82" t="s">
        <v>185</v>
      </c>
      <c r="B80" s="10"/>
      <c r="C80" s="10"/>
      <c r="D80" s="10"/>
      <c r="E80" s="10"/>
      <c r="F80" s="10"/>
      <c r="G80" s="10"/>
      <c r="H80" s="12"/>
    </row>
    <row r="81" spans="1:8" x14ac:dyDescent="0.2">
      <c r="A81" s="82"/>
      <c r="B81" s="10"/>
      <c r="C81" s="10"/>
      <c r="D81" s="10"/>
      <c r="E81" s="10"/>
      <c r="F81" s="10"/>
      <c r="G81" s="10"/>
      <c r="H81" s="12"/>
    </row>
    <row r="82" spans="1:8" x14ac:dyDescent="0.2">
      <c r="A82" s="82" t="s">
        <v>186</v>
      </c>
      <c r="B82" s="10"/>
      <c r="C82" s="10"/>
      <c r="D82" s="10"/>
      <c r="E82" s="10"/>
      <c r="F82" s="10"/>
      <c r="G82" s="10"/>
      <c r="H82" s="12"/>
    </row>
    <row r="83" spans="1:8" x14ac:dyDescent="0.2">
      <c r="A83" s="82" t="s">
        <v>187</v>
      </c>
      <c r="B83" s="10"/>
      <c r="C83" s="10"/>
      <c r="D83" s="10"/>
      <c r="E83" s="10"/>
      <c r="F83" s="10"/>
      <c r="G83" s="10"/>
      <c r="H83" s="12"/>
    </row>
    <row r="84" spans="1:8" x14ac:dyDescent="0.2">
      <c r="A84" s="82"/>
      <c r="B84" s="10"/>
      <c r="C84" s="10"/>
      <c r="D84" s="10"/>
      <c r="E84" s="10"/>
      <c r="F84" s="10"/>
      <c r="G84" s="10"/>
      <c r="H84" s="12"/>
    </row>
    <row r="85" spans="1:8" x14ac:dyDescent="0.2">
      <c r="A85" s="82" t="s">
        <v>126</v>
      </c>
      <c r="B85" s="10"/>
      <c r="C85" s="10"/>
      <c r="D85" s="10"/>
      <c r="E85" s="10"/>
      <c r="F85" s="10"/>
      <c r="G85" s="10"/>
      <c r="H85" s="12"/>
    </row>
    <row r="86" spans="1:8" x14ac:dyDescent="0.2">
      <c r="A86" s="87" t="s">
        <v>139</v>
      </c>
      <c r="B86" s="70"/>
      <c r="C86" s="70"/>
      <c r="D86" s="70"/>
      <c r="E86" s="70"/>
      <c r="F86" s="70"/>
      <c r="G86" s="70"/>
      <c r="H86" s="12"/>
    </row>
    <row r="87" spans="1:8" x14ac:dyDescent="0.2">
      <c r="A87" s="82"/>
      <c r="B87" s="10"/>
      <c r="C87" s="70"/>
      <c r="D87" s="70"/>
      <c r="E87" s="70"/>
      <c r="F87" s="70"/>
      <c r="G87" s="70"/>
      <c r="H87" s="12"/>
    </row>
    <row r="88" spans="1:8" x14ac:dyDescent="0.2">
      <c r="A88" s="82" t="s">
        <v>188</v>
      </c>
      <c r="B88" s="10"/>
      <c r="C88" s="70"/>
      <c r="D88" s="70"/>
      <c r="E88" s="70"/>
      <c r="F88" s="70"/>
      <c r="G88" s="70"/>
      <c r="H88" s="12"/>
    </row>
    <row r="89" spans="1:8" x14ac:dyDescent="0.2">
      <c r="A89" s="81"/>
      <c r="B89" s="10"/>
      <c r="C89" s="70"/>
      <c r="D89" s="70"/>
      <c r="E89" s="70"/>
      <c r="F89" s="70"/>
      <c r="G89" s="70"/>
      <c r="H89" s="12"/>
    </row>
    <row r="90" spans="1:8" x14ac:dyDescent="0.2">
      <c r="A90" s="82" t="s">
        <v>127</v>
      </c>
      <c r="B90" s="10"/>
      <c r="C90" s="70"/>
      <c r="D90" s="70"/>
      <c r="E90" s="70"/>
      <c r="F90" s="70"/>
      <c r="G90" s="70"/>
      <c r="H90" s="12"/>
    </row>
    <row r="91" spans="1:8" x14ac:dyDescent="0.2">
      <c r="A91" s="81"/>
      <c r="B91" s="10"/>
      <c r="C91" s="70"/>
      <c r="D91" s="70"/>
      <c r="E91" s="70"/>
      <c r="F91" s="70"/>
      <c r="G91" s="70"/>
      <c r="H91" s="12"/>
    </row>
    <row r="92" spans="1:8" x14ac:dyDescent="0.2">
      <c r="A92" s="11" t="s">
        <v>128</v>
      </c>
      <c r="B92" s="10"/>
      <c r="C92" s="70"/>
      <c r="D92" s="70"/>
      <c r="E92" s="70"/>
      <c r="F92" s="70"/>
      <c r="G92" s="70"/>
      <c r="H92" s="12"/>
    </row>
    <row r="93" spans="1:8" x14ac:dyDescent="0.2">
      <c r="A93" s="93"/>
      <c r="B93" s="10"/>
      <c r="C93" s="70"/>
      <c r="D93" s="70"/>
      <c r="E93" s="70"/>
      <c r="F93" s="70"/>
      <c r="G93" s="70"/>
      <c r="H93" s="12"/>
    </row>
    <row r="94" spans="1:8" x14ac:dyDescent="0.2">
      <c r="A94" s="11" t="s">
        <v>129</v>
      </c>
      <c r="B94" s="10"/>
      <c r="C94" s="70"/>
      <c r="D94" s="70"/>
      <c r="E94" s="70"/>
      <c r="F94" s="70"/>
      <c r="G94" s="70"/>
      <c r="H94" s="12"/>
    </row>
    <row r="95" spans="1:8" x14ac:dyDescent="0.2">
      <c r="A95" s="93" t="s">
        <v>191</v>
      </c>
      <c r="B95" s="10"/>
      <c r="C95" s="70"/>
      <c r="D95" s="70"/>
      <c r="E95" s="70"/>
      <c r="F95" s="70"/>
      <c r="G95" s="70"/>
      <c r="H95" s="12"/>
    </row>
    <row r="96" spans="1:8" x14ac:dyDescent="0.2">
      <c r="A96" s="93" t="s">
        <v>192</v>
      </c>
      <c r="B96" s="10"/>
      <c r="C96" s="70"/>
      <c r="D96" s="70"/>
      <c r="E96" s="70"/>
      <c r="F96" s="70"/>
      <c r="G96" s="70"/>
      <c r="H96" s="12"/>
    </row>
    <row r="97" spans="1:8" x14ac:dyDescent="0.2">
      <c r="A97" s="93" t="s">
        <v>193</v>
      </c>
      <c r="B97" s="10"/>
      <c r="C97" s="70"/>
      <c r="D97" s="70"/>
      <c r="E97" s="70"/>
      <c r="F97" s="70"/>
      <c r="G97" s="70"/>
      <c r="H97" s="12"/>
    </row>
    <row r="98" spans="1:8" x14ac:dyDescent="0.2">
      <c r="A98" s="11"/>
      <c r="B98" s="10"/>
      <c r="C98" s="70"/>
      <c r="D98" s="70"/>
      <c r="E98" s="70"/>
      <c r="F98" s="70"/>
      <c r="G98" s="70"/>
      <c r="H98" s="12"/>
    </row>
    <row r="99" spans="1:8" x14ac:dyDescent="0.2">
      <c r="A99" s="11" t="s">
        <v>130</v>
      </c>
      <c r="B99" s="10"/>
      <c r="C99" s="70"/>
      <c r="D99" s="70"/>
      <c r="E99" s="70"/>
      <c r="F99" s="70"/>
      <c r="G99" s="70"/>
      <c r="H99" s="12"/>
    </row>
    <row r="100" spans="1:8" x14ac:dyDescent="0.2">
      <c r="A100" s="94" t="s">
        <v>194</v>
      </c>
      <c r="B100" s="10"/>
      <c r="C100" s="70"/>
      <c r="D100" s="70"/>
      <c r="E100" s="70"/>
      <c r="F100" s="70"/>
      <c r="G100" s="70"/>
      <c r="H100" s="12"/>
    </row>
    <row r="101" spans="1:8" x14ac:dyDescent="0.2">
      <c r="A101" s="94" t="s">
        <v>195</v>
      </c>
      <c r="B101" s="10"/>
      <c r="C101" s="70"/>
      <c r="D101" s="70"/>
      <c r="E101" s="70"/>
      <c r="F101" s="70"/>
      <c r="G101" s="70"/>
      <c r="H101" s="12"/>
    </row>
    <row r="102" spans="1:8" x14ac:dyDescent="0.2">
      <c r="A102" s="102" t="s">
        <v>213</v>
      </c>
      <c r="B102" s="10"/>
      <c r="C102" s="70"/>
      <c r="D102" s="70"/>
      <c r="E102" s="70"/>
      <c r="F102" s="70"/>
      <c r="G102" s="70"/>
      <c r="H102" s="12"/>
    </row>
    <row r="103" spans="1:8" x14ac:dyDescent="0.2">
      <c r="A103" s="11"/>
      <c r="B103" s="10"/>
      <c r="C103" s="70"/>
      <c r="D103" s="70"/>
      <c r="E103" s="70"/>
      <c r="F103" s="70"/>
      <c r="G103" s="70"/>
      <c r="H103" s="12"/>
    </row>
    <row r="104" spans="1:8" x14ac:dyDescent="0.2">
      <c r="A104" s="11" t="s">
        <v>131</v>
      </c>
      <c r="B104" s="75"/>
      <c r="C104" s="75"/>
      <c r="D104" s="75"/>
      <c r="E104" s="75"/>
      <c r="F104" s="10"/>
      <c r="G104" s="10"/>
      <c r="H104" s="12"/>
    </row>
    <row r="105" spans="1:8" x14ac:dyDescent="0.2">
      <c r="A105" s="78"/>
      <c r="B105" s="75"/>
      <c r="C105" s="75"/>
      <c r="D105" s="75"/>
      <c r="E105" s="75"/>
      <c r="F105" s="10"/>
      <c r="G105" s="10"/>
      <c r="H105" s="12"/>
    </row>
    <row r="106" spans="1:8" x14ac:dyDescent="0.2">
      <c r="A106" s="78"/>
      <c r="B106" s="75"/>
      <c r="C106" s="75"/>
      <c r="D106" s="75"/>
      <c r="E106" s="75"/>
      <c r="F106" s="10"/>
      <c r="G106" s="10"/>
      <c r="H106" s="12"/>
    </row>
    <row r="107" spans="1:8" x14ac:dyDescent="0.2">
      <c r="A107" s="78"/>
      <c r="B107" s="75"/>
      <c r="C107" s="75"/>
      <c r="D107" s="75"/>
      <c r="E107" s="75"/>
      <c r="F107" s="10"/>
      <c r="G107" s="10"/>
      <c r="H107" s="12"/>
    </row>
    <row r="108" spans="1:8" x14ac:dyDescent="0.2">
      <c r="A108" s="79"/>
      <c r="B108" s="80"/>
      <c r="C108" s="80"/>
      <c r="D108" s="80"/>
      <c r="E108" s="80"/>
      <c r="F108" s="14"/>
      <c r="G108" s="14"/>
      <c r="H108" s="15"/>
    </row>
    <row r="109" spans="1:8" x14ac:dyDescent="0.2">
      <c r="A109" s="78"/>
      <c r="B109" s="75"/>
      <c r="C109" s="75"/>
      <c r="D109" s="75"/>
      <c r="E109" s="75"/>
      <c r="F109" s="10"/>
      <c r="G109" s="10"/>
      <c r="H109" s="12"/>
    </row>
    <row r="110" spans="1:8" x14ac:dyDescent="0.2">
      <c r="A110" s="78"/>
      <c r="B110" s="75"/>
      <c r="C110" s="75"/>
      <c r="D110" s="75"/>
      <c r="E110" s="75"/>
      <c r="F110" s="10"/>
      <c r="G110" s="10"/>
      <c r="H110" s="12"/>
    </row>
    <row r="111" spans="1:8" x14ac:dyDescent="0.2">
      <c r="A111" s="79"/>
      <c r="B111" s="80"/>
      <c r="C111" s="80"/>
      <c r="D111" s="80"/>
      <c r="E111" s="80"/>
      <c r="F111" s="14"/>
      <c r="G111" s="14"/>
      <c r="H111" s="15"/>
    </row>
  </sheetData>
  <mergeCells count="4">
    <mergeCell ref="D2:E2"/>
    <mergeCell ref="G2:H2"/>
    <mergeCell ref="I2:K2"/>
    <mergeCell ref="B4:F4"/>
  </mergeCells>
  <phoneticPr fontId="2"/>
  <dataValidations count="1">
    <dataValidation type="list" allowBlank="1" showInputMessage="1" showErrorMessage="1" sqref="F6 D6" xr:uid="{F3892696-5E41-4E5D-9D19-885449E9E8B0}">
      <formula1>$J$7:$J$9</formula1>
    </dataValidation>
  </dataValidations>
  <pageMargins left="0.78700000000000003" right="0.78700000000000003" top="0.98399999999999999" bottom="0.98399999999999999" header="0.51200000000000001" footer="0.51200000000000001"/>
  <pageSetup paperSize="9" scale="80" orientation="portrait" verticalDpi="300" r:id="rId1"/>
  <headerFooter alignWithMargins="0">
    <oddHeader>&amp;L
&amp;F&amp;C&amp;A&amp;R&amp;D</oddHeader>
    <oddFooter>&amp;LCONFIDENTIAL&amp;C株式会社 ISIDインターテクノロジー&amp;R&amp;P</oddFooter>
  </headerFooter>
  <rowBreaks count="1" manualBreakCount="1">
    <brk id="49" max="10"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D7589-959C-4180-B208-9D1742341179}">
  <sheetPr codeName="Sheet17"/>
  <dimension ref="A1:K63"/>
  <sheetViews>
    <sheetView view="pageBreakPreview" zoomScaleNormal="100" workbookViewId="0">
      <pane ySplit="7" topLeftCell="A8" activePane="bottomLeft" state="frozen"/>
      <selection activeCell="H4" sqref="H4"/>
      <selection pane="bottomLeft" activeCell="F30" sqref="E30:F30"/>
    </sheetView>
  </sheetViews>
  <sheetFormatPr defaultColWidth="9" defaultRowHeight="12" x14ac:dyDescent="0.2"/>
  <cols>
    <col min="1" max="1" width="17.453125" style="1" customWidth="1"/>
    <col min="2" max="2" width="10.36328125" style="1" customWidth="1"/>
    <col min="3" max="3" width="8" style="1" bestFit="1" customWidth="1"/>
    <col min="4" max="4" width="11.7265625" style="1" customWidth="1"/>
    <col min="5" max="5" width="10" style="1" customWidth="1"/>
    <col min="6" max="6" width="9.08984375" style="1" customWidth="1"/>
    <col min="7" max="7" width="7.26953125" style="1" customWidth="1"/>
    <col min="8" max="8" width="15.90625" style="1" customWidth="1"/>
    <col min="9" max="9" width="8.6328125" style="1" customWidth="1"/>
    <col min="10" max="10" width="9" style="1" hidden="1" customWidth="1"/>
    <col min="11" max="16384" width="9" style="1"/>
  </cols>
  <sheetData>
    <row r="1" spans="1:11" s="61" customFormat="1" ht="28.5" customHeight="1" thickBot="1" x14ac:dyDescent="0.25"/>
    <row r="2" spans="1:11" s="62" customFormat="1" ht="24" customHeight="1" x14ac:dyDescent="0.25">
      <c r="A2" s="64" t="s">
        <v>34</v>
      </c>
      <c r="D2" s="108" t="str">
        <f>テンプレート!D2</f>
        <v>管理番号：DN-030103-019.01
分類　　　：ロジック設計書</v>
      </c>
      <c r="E2" s="108"/>
      <c r="F2" s="63"/>
      <c r="G2" s="109" t="str">
        <f>テンプレート!G2</f>
        <v>更新者：
更新日：</v>
      </c>
      <c r="H2" s="109"/>
      <c r="I2" s="109" t="str">
        <f>テンプレート!I2</f>
        <v>作成者：ISID-IT 衣川
作成日：2006/12/27</v>
      </c>
      <c r="J2" s="109"/>
      <c r="K2" s="109"/>
    </row>
    <row r="3" spans="1:11" ht="20.25" customHeight="1" x14ac:dyDescent="0.25">
      <c r="A3" s="2" t="s">
        <v>147</v>
      </c>
    </row>
    <row r="4" spans="1:11" ht="24" customHeight="1" x14ac:dyDescent="0.2">
      <c r="A4" s="38" t="s">
        <v>4</v>
      </c>
      <c r="B4" s="110" t="s">
        <v>142</v>
      </c>
      <c r="C4" s="111"/>
      <c r="D4" s="111"/>
      <c r="E4" s="111"/>
      <c r="F4" s="112"/>
      <c r="G4" s="83" t="s">
        <v>33</v>
      </c>
      <c r="H4" s="69" t="s">
        <v>51</v>
      </c>
    </row>
    <row r="5" spans="1:11" x14ac:dyDescent="0.2">
      <c r="A5" s="37" t="s">
        <v>37</v>
      </c>
      <c r="B5" s="4" t="str">
        <f>CONCATENATE(テンプレート!B5, "logic.impl.CheckSvExistLogicImpl")</f>
        <v>jp.co.isid.mos.bird.entry.nationalviewlistlogic.impl.CheckSvExistLogicImpl</v>
      </c>
      <c r="C5" s="4"/>
      <c r="D5" s="4"/>
      <c r="E5" s="8"/>
      <c r="F5" s="8"/>
      <c r="G5" s="8"/>
      <c r="H5" s="9"/>
    </row>
    <row r="6" spans="1:11" x14ac:dyDescent="0.2">
      <c r="A6" s="37" t="s">
        <v>38</v>
      </c>
      <c r="B6" s="4" t="str">
        <f>CONCATENATE(テンプレート!B6,"04")</f>
        <v>BEN016L04</v>
      </c>
      <c r="C6" s="48" t="s">
        <v>39</v>
      </c>
      <c r="D6" s="3" t="s">
        <v>22</v>
      </c>
      <c r="E6" s="60"/>
      <c r="F6" s="4"/>
      <c r="G6" s="59"/>
      <c r="H6" s="5"/>
      <c r="J6" s="1" t="s">
        <v>20</v>
      </c>
    </row>
    <row r="7" spans="1:11" x14ac:dyDescent="0.2">
      <c r="J7" s="1" t="s">
        <v>22</v>
      </c>
    </row>
    <row r="8" spans="1:11" x14ac:dyDescent="0.2">
      <c r="A8" s="21" t="s">
        <v>0</v>
      </c>
      <c r="B8" s="22"/>
      <c r="C8" s="23"/>
      <c r="D8" s="23"/>
      <c r="E8" s="23"/>
      <c r="F8" s="23"/>
      <c r="G8" s="22"/>
      <c r="H8" s="24"/>
      <c r="J8" s="1" t="s">
        <v>21</v>
      </c>
    </row>
    <row r="9" spans="1:11" x14ac:dyDescent="0.2">
      <c r="A9" s="17" t="s">
        <v>135</v>
      </c>
      <c r="B9" s="18"/>
      <c r="C9" s="18"/>
      <c r="D9" s="18"/>
      <c r="E9" s="18"/>
      <c r="F9" s="18"/>
      <c r="G9" s="18"/>
      <c r="H9" s="20"/>
      <c r="J9" s="1" t="s">
        <v>23</v>
      </c>
    </row>
    <row r="10" spans="1:11" x14ac:dyDescent="0.2">
      <c r="A10" s="25" t="s">
        <v>1</v>
      </c>
      <c r="B10" s="26" t="s">
        <v>28</v>
      </c>
      <c r="C10" s="26" t="s">
        <v>11</v>
      </c>
      <c r="D10" s="27"/>
      <c r="E10" s="27"/>
      <c r="F10" s="28"/>
      <c r="G10" s="28" t="s">
        <v>2</v>
      </c>
      <c r="H10" s="25" t="s">
        <v>3</v>
      </c>
    </row>
    <row r="11" spans="1:11" x14ac:dyDescent="0.2">
      <c r="A11" s="74" t="s">
        <v>163</v>
      </c>
      <c r="B11" s="13" t="s">
        <v>47</v>
      </c>
      <c r="C11" s="74"/>
      <c r="D11" s="4"/>
      <c r="E11" s="4"/>
      <c r="F11" s="5"/>
      <c r="G11" s="45" t="s">
        <v>155</v>
      </c>
      <c r="H11" s="6"/>
    </row>
    <row r="12" spans="1:11" x14ac:dyDescent="0.2">
      <c r="A12" s="74" t="s">
        <v>136</v>
      </c>
      <c r="B12" s="13" t="s">
        <v>47</v>
      </c>
      <c r="C12" s="74"/>
      <c r="D12" s="4"/>
      <c r="E12" s="4"/>
      <c r="F12" s="5"/>
      <c r="G12" s="45" t="s">
        <v>155</v>
      </c>
      <c r="H12" s="6"/>
    </row>
    <row r="13" spans="1:11" x14ac:dyDescent="0.2">
      <c r="A13" s="74"/>
      <c r="B13" s="13"/>
      <c r="C13" s="74"/>
      <c r="D13" s="4"/>
      <c r="E13" s="4"/>
      <c r="F13" s="5"/>
      <c r="G13" s="45"/>
      <c r="H13" s="6"/>
    </row>
    <row r="14" spans="1:11" x14ac:dyDescent="0.2">
      <c r="A14" s="71"/>
      <c r="B14" s="13"/>
      <c r="C14" s="74"/>
      <c r="D14" s="4"/>
      <c r="E14" s="4"/>
      <c r="F14" s="5"/>
      <c r="G14" s="45"/>
      <c r="H14" s="6"/>
    </row>
    <row r="15" spans="1:11" x14ac:dyDescent="0.2">
      <c r="A15" s="17" t="s">
        <v>137</v>
      </c>
      <c r="B15" s="18"/>
      <c r="C15" s="19"/>
      <c r="D15" s="19"/>
      <c r="E15" s="19"/>
      <c r="F15" s="19"/>
      <c r="G15" s="19"/>
      <c r="H15" s="42"/>
    </row>
    <row r="16" spans="1:11" x14ac:dyDescent="0.2">
      <c r="A16" s="25" t="s">
        <v>1</v>
      </c>
      <c r="B16" s="26" t="s">
        <v>28</v>
      </c>
      <c r="C16" s="39" t="s">
        <v>11</v>
      </c>
      <c r="D16" s="40"/>
      <c r="E16" s="40"/>
      <c r="F16" s="40"/>
      <c r="G16" s="39" t="s">
        <v>3</v>
      </c>
      <c r="H16" s="41"/>
    </row>
    <row r="17" spans="1:8" x14ac:dyDescent="0.2">
      <c r="A17" s="16" t="s">
        <v>146</v>
      </c>
      <c r="B17" s="46" t="s">
        <v>138</v>
      </c>
      <c r="C17" s="3" t="str">
        <f>CONCATENATE(テンプレート!B5, ".entity.CodSv")</f>
        <v>jp.co.isid.mos.bird.entry.nationalviewlist.entity.CodSv</v>
      </c>
      <c r="D17" s="4"/>
      <c r="E17" s="4"/>
      <c r="F17" s="4"/>
      <c r="G17" s="3"/>
      <c r="H17" s="5"/>
    </row>
    <row r="19" spans="1:8" x14ac:dyDescent="0.2">
      <c r="A19" s="32" t="s">
        <v>17</v>
      </c>
      <c r="B19" s="23"/>
      <c r="C19" s="23"/>
      <c r="D19" s="23"/>
      <c r="E19" s="23"/>
      <c r="F19" s="23"/>
      <c r="G19" s="23"/>
      <c r="H19" s="33"/>
    </row>
    <row r="20" spans="1:8" x14ac:dyDescent="0.2">
      <c r="A20" s="47" t="s">
        <v>35</v>
      </c>
      <c r="B20" s="47"/>
      <c r="C20" s="29" t="s">
        <v>36</v>
      </c>
      <c r="D20" s="30"/>
      <c r="E20" s="30"/>
      <c r="F20" s="30"/>
      <c r="G20" s="30"/>
      <c r="H20" s="31"/>
    </row>
    <row r="21" spans="1:8" x14ac:dyDescent="0.2">
      <c r="A21" s="16" t="s">
        <v>146</v>
      </c>
      <c r="B21" s="46" t="s">
        <v>138</v>
      </c>
      <c r="C21" s="3" t="str">
        <f>CONCATENATE(テンプレート!B5, ".dao.CodSvDao")</f>
        <v>jp.co.isid.mos.bird.entry.nationalviewlist.dao.CodSvDao</v>
      </c>
      <c r="D21" s="4"/>
      <c r="E21" s="4"/>
      <c r="F21" s="4"/>
      <c r="G21" s="4"/>
      <c r="H21" s="5"/>
    </row>
    <row r="22" spans="1:8" x14ac:dyDescent="0.2">
      <c r="A22" s="16"/>
      <c r="B22" s="46"/>
      <c r="C22" s="3"/>
      <c r="D22" s="4"/>
      <c r="E22" s="4"/>
      <c r="F22" s="4"/>
      <c r="G22" s="4"/>
      <c r="H22" s="5"/>
    </row>
    <row r="23" spans="1:8" x14ac:dyDescent="0.2">
      <c r="A23" s="16"/>
      <c r="B23" s="46"/>
      <c r="C23" s="3"/>
      <c r="D23" s="4"/>
      <c r="E23" s="4"/>
      <c r="F23" s="4"/>
      <c r="G23" s="4"/>
      <c r="H23" s="5"/>
    </row>
    <row r="24" spans="1:8" x14ac:dyDescent="0.2">
      <c r="A24" s="16"/>
      <c r="B24" s="46"/>
      <c r="C24" s="3"/>
      <c r="D24" s="4"/>
      <c r="E24" s="4"/>
      <c r="F24" s="4"/>
      <c r="G24" s="4"/>
      <c r="H24" s="5"/>
    </row>
    <row r="25" spans="1:8" x14ac:dyDescent="0.2">
      <c r="A25" s="16"/>
      <c r="B25" s="46"/>
      <c r="C25" s="3"/>
      <c r="D25" s="4"/>
      <c r="E25" s="4"/>
      <c r="F25" s="4"/>
      <c r="G25" s="4"/>
      <c r="H25" s="5"/>
    </row>
    <row r="27" spans="1:8" x14ac:dyDescent="0.2">
      <c r="A27" s="32" t="s">
        <v>13</v>
      </c>
      <c r="B27" s="23"/>
      <c r="C27" s="23"/>
      <c r="D27" s="23"/>
      <c r="E27" s="23"/>
      <c r="F27" s="23"/>
      <c r="G27" s="22"/>
      <c r="H27" s="24"/>
    </row>
    <row r="28" spans="1:8" x14ac:dyDescent="0.2">
      <c r="A28" s="29" t="s">
        <v>5</v>
      </c>
      <c r="B28" s="30"/>
      <c r="C28" s="30"/>
      <c r="D28" s="30"/>
      <c r="E28" s="30"/>
      <c r="F28" s="31"/>
      <c r="G28" s="34" t="s">
        <v>31</v>
      </c>
      <c r="H28" s="36"/>
    </row>
    <row r="29" spans="1:8" x14ac:dyDescent="0.2">
      <c r="A29" s="7" t="s">
        <v>166</v>
      </c>
      <c r="B29" s="8"/>
      <c r="C29" s="8"/>
      <c r="D29" s="8"/>
      <c r="E29" s="8"/>
      <c r="F29" s="9"/>
      <c r="G29" s="11" t="s">
        <v>56</v>
      </c>
      <c r="H29" s="12" t="s">
        <v>164</v>
      </c>
    </row>
    <row r="30" spans="1:8" x14ac:dyDescent="0.2">
      <c r="A30" s="11"/>
      <c r="B30" s="10"/>
      <c r="C30" s="10"/>
      <c r="D30" s="10"/>
      <c r="E30" s="10"/>
      <c r="F30" s="10"/>
      <c r="G30" s="11" t="s">
        <v>108</v>
      </c>
      <c r="H30" s="12" t="s">
        <v>109</v>
      </c>
    </row>
    <row r="31" spans="1:8" x14ac:dyDescent="0.2">
      <c r="A31" s="11"/>
      <c r="B31" s="10"/>
      <c r="C31" s="10"/>
      <c r="D31" s="10"/>
      <c r="E31" s="10"/>
      <c r="F31" s="10"/>
      <c r="G31" s="11"/>
      <c r="H31" s="12"/>
    </row>
    <row r="32" spans="1:8" x14ac:dyDescent="0.2">
      <c r="A32" s="11"/>
      <c r="B32" s="10"/>
      <c r="C32" s="10"/>
      <c r="D32" s="10"/>
      <c r="E32" s="10"/>
      <c r="F32" s="10"/>
      <c r="G32" s="11"/>
      <c r="H32" s="12"/>
    </row>
    <row r="33" spans="1:8" x14ac:dyDescent="0.2">
      <c r="A33" s="11"/>
      <c r="B33" s="10"/>
      <c r="C33" s="10"/>
      <c r="D33" s="10"/>
      <c r="E33" s="10"/>
      <c r="F33" s="10"/>
      <c r="G33" s="11"/>
      <c r="H33" s="12"/>
    </row>
    <row r="34" spans="1:8" x14ac:dyDescent="0.2">
      <c r="A34" s="11"/>
      <c r="B34" s="10"/>
      <c r="C34" s="10"/>
      <c r="D34" s="10"/>
      <c r="E34" s="10"/>
      <c r="F34" s="10"/>
      <c r="G34" s="11"/>
      <c r="H34" s="12"/>
    </row>
    <row r="35" spans="1:8" x14ac:dyDescent="0.2">
      <c r="A35" s="13"/>
      <c r="B35" s="14"/>
      <c r="C35" s="14"/>
      <c r="D35" s="14"/>
      <c r="E35" s="14"/>
      <c r="F35" s="14"/>
      <c r="G35" s="13"/>
      <c r="H35" s="15"/>
    </row>
    <row r="36" spans="1:8" x14ac:dyDescent="0.2">
      <c r="A36" s="67" t="s">
        <v>7</v>
      </c>
      <c r="B36" s="65"/>
      <c r="C36" s="65"/>
      <c r="D36" s="65"/>
      <c r="E36" s="65"/>
      <c r="F36" s="68"/>
      <c r="G36" s="65" t="s">
        <v>31</v>
      </c>
      <c r="H36" s="66"/>
    </row>
    <row r="37" spans="1:8" x14ac:dyDescent="0.2">
      <c r="A37" s="7"/>
      <c r="B37" s="8"/>
      <c r="C37" s="8"/>
      <c r="D37" s="8"/>
      <c r="E37" s="8"/>
      <c r="F37" s="9"/>
      <c r="G37" s="8"/>
      <c r="H37" s="12"/>
    </row>
    <row r="38" spans="1:8" x14ac:dyDescent="0.2">
      <c r="A38" s="11"/>
      <c r="B38" s="10"/>
      <c r="C38" s="10"/>
      <c r="D38" s="10"/>
      <c r="E38" s="10"/>
      <c r="F38" s="12"/>
      <c r="G38" s="10"/>
      <c r="H38" s="12"/>
    </row>
    <row r="39" spans="1:8" x14ac:dyDescent="0.2">
      <c r="A39" s="11"/>
      <c r="B39" s="10"/>
      <c r="C39" s="10"/>
      <c r="D39" s="10"/>
      <c r="E39" s="10"/>
      <c r="F39" s="12"/>
      <c r="G39" s="10"/>
      <c r="H39" s="12"/>
    </row>
    <row r="40" spans="1:8" x14ac:dyDescent="0.2">
      <c r="A40" s="13"/>
      <c r="B40" s="14"/>
      <c r="C40" s="14"/>
      <c r="D40" s="14"/>
      <c r="E40" s="14"/>
      <c r="F40" s="15"/>
      <c r="G40" s="14"/>
      <c r="H40" s="15"/>
    </row>
    <row r="41" spans="1:8" x14ac:dyDescent="0.2">
      <c r="A41" s="21" t="s">
        <v>14</v>
      </c>
      <c r="B41" s="22"/>
      <c r="C41" s="22"/>
      <c r="D41" s="22"/>
      <c r="E41" s="22"/>
      <c r="F41" s="22"/>
      <c r="G41" s="22"/>
      <c r="H41" s="24"/>
    </row>
    <row r="42" spans="1:8" x14ac:dyDescent="0.2">
      <c r="A42" s="34" t="s">
        <v>6</v>
      </c>
      <c r="B42" s="35"/>
      <c r="C42" s="35"/>
      <c r="D42" s="35"/>
      <c r="E42" s="35"/>
      <c r="F42" s="35"/>
      <c r="G42" s="35"/>
      <c r="H42" s="36"/>
    </row>
    <row r="43" spans="1:8" x14ac:dyDescent="0.2">
      <c r="A43" s="82"/>
      <c r="B43" s="10"/>
      <c r="C43" s="10"/>
      <c r="D43" s="10"/>
      <c r="E43" s="10"/>
      <c r="F43" s="10"/>
      <c r="G43" s="10"/>
      <c r="H43" s="12"/>
    </row>
    <row r="44" spans="1:8" x14ac:dyDescent="0.2">
      <c r="A44" s="82" t="s">
        <v>148</v>
      </c>
      <c r="B44" s="10"/>
      <c r="C44" s="10"/>
      <c r="D44" s="10"/>
      <c r="E44" s="10"/>
      <c r="F44" s="10"/>
      <c r="G44" s="10"/>
      <c r="H44" s="12"/>
    </row>
    <row r="45" spans="1:8" x14ac:dyDescent="0.2">
      <c r="A45" s="82"/>
      <c r="B45" s="10"/>
      <c r="C45" s="10"/>
      <c r="D45" s="10"/>
      <c r="E45" s="10"/>
      <c r="F45" s="10"/>
      <c r="G45" s="10"/>
      <c r="H45" s="12"/>
    </row>
    <row r="46" spans="1:8" x14ac:dyDescent="0.2">
      <c r="A46" s="82" t="s">
        <v>149</v>
      </c>
      <c r="B46" s="10"/>
      <c r="C46" s="10"/>
      <c r="D46" s="10"/>
      <c r="E46" s="10"/>
      <c r="F46" s="10"/>
      <c r="G46" s="10"/>
      <c r="H46" s="12"/>
    </row>
    <row r="47" spans="1:8" x14ac:dyDescent="0.2">
      <c r="A47" s="87" t="s">
        <v>139</v>
      </c>
      <c r="B47" s="70"/>
      <c r="C47" s="70"/>
      <c r="D47" s="70"/>
      <c r="E47" s="70"/>
      <c r="F47" s="70"/>
      <c r="G47" s="70"/>
      <c r="H47" s="12"/>
    </row>
    <row r="48" spans="1:8" x14ac:dyDescent="0.2">
      <c r="A48" s="82" t="s">
        <v>150</v>
      </c>
      <c r="B48" s="10"/>
      <c r="C48" s="70"/>
      <c r="D48" s="70"/>
      <c r="E48" s="70"/>
      <c r="F48" s="70"/>
      <c r="G48" s="70"/>
      <c r="H48" s="12"/>
    </row>
    <row r="49" spans="1:8" x14ac:dyDescent="0.2">
      <c r="A49" s="82"/>
      <c r="B49" s="10"/>
      <c r="C49" s="70"/>
      <c r="D49" s="70"/>
      <c r="E49" s="70"/>
      <c r="F49" s="70"/>
      <c r="G49" s="70"/>
      <c r="H49" s="12"/>
    </row>
    <row r="50" spans="1:8" x14ac:dyDescent="0.2">
      <c r="A50" s="82" t="s">
        <v>151</v>
      </c>
      <c r="B50" s="10"/>
      <c r="C50" s="70"/>
      <c r="D50" s="70"/>
      <c r="E50" s="70"/>
      <c r="F50" s="70"/>
      <c r="G50" s="70"/>
      <c r="H50" s="12"/>
    </row>
    <row r="51" spans="1:8" x14ac:dyDescent="0.2">
      <c r="A51" s="87"/>
      <c r="B51" s="10" t="s">
        <v>152</v>
      </c>
      <c r="C51" s="70"/>
      <c r="D51" s="70"/>
      <c r="E51" s="70"/>
      <c r="F51" s="70"/>
      <c r="G51" s="70"/>
      <c r="H51" s="12"/>
    </row>
    <row r="52" spans="1:8" x14ac:dyDescent="0.2">
      <c r="A52" s="81"/>
      <c r="B52" s="10" t="s">
        <v>153</v>
      </c>
      <c r="C52" s="70"/>
      <c r="D52" s="70"/>
      <c r="E52" s="70"/>
      <c r="F52" s="70"/>
      <c r="G52" s="70"/>
      <c r="H52" s="12"/>
    </row>
    <row r="53" spans="1:8" x14ac:dyDescent="0.2">
      <c r="A53" s="11"/>
      <c r="B53" s="10"/>
      <c r="C53" s="70"/>
      <c r="D53" s="70"/>
      <c r="E53" s="70"/>
      <c r="F53" s="70"/>
      <c r="G53" s="70"/>
      <c r="H53" s="12"/>
    </row>
    <row r="54" spans="1:8" x14ac:dyDescent="0.2">
      <c r="A54" s="11" t="s">
        <v>154</v>
      </c>
      <c r="B54" s="10"/>
      <c r="C54" s="76"/>
      <c r="D54" s="76"/>
      <c r="E54" s="70"/>
      <c r="F54" s="70"/>
      <c r="G54" s="70"/>
      <c r="H54" s="12"/>
    </row>
    <row r="55" spans="1:8" x14ac:dyDescent="0.2">
      <c r="A55" s="11"/>
      <c r="B55" s="10"/>
      <c r="C55" s="70"/>
      <c r="D55" s="70"/>
      <c r="E55" s="70"/>
      <c r="F55" s="70"/>
      <c r="G55" s="70"/>
      <c r="H55" s="12"/>
    </row>
    <row r="56" spans="1:8" x14ac:dyDescent="0.2">
      <c r="A56" s="11"/>
      <c r="B56" s="10"/>
      <c r="C56" s="70"/>
      <c r="D56" s="70"/>
      <c r="E56" s="70"/>
      <c r="F56" s="70"/>
      <c r="G56" s="70"/>
      <c r="H56" s="12"/>
    </row>
    <row r="57" spans="1:8" x14ac:dyDescent="0.2">
      <c r="A57" s="11"/>
      <c r="B57" s="10"/>
      <c r="C57" s="70"/>
      <c r="D57" s="70"/>
      <c r="E57" s="70"/>
      <c r="F57" s="70"/>
      <c r="G57" s="70"/>
      <c r="H57" s="12"/>
    </row>
    <row r="58" spans="1:8" x14ac:dyDescent="0.2">
      <c r="A58" s="11"/>
      <c r="B58" s="10"/>
      <c r="C58" s="70"/>
      <c r="D58" s="70"/>
      <c r="E58" s="70"/>
      <c r="F58" s="70"/>
      <c r="G58" s="70"/>
      <c r="H58" s="12"/>
    </row>
    <row r="59" spans="1:8" x14ac:dyDescent="0.2">
      <c r="A59" s="11"/>
      <c r="B59" s="75"/>
      <c r="C59" s="75"/>
      <c r="D59" s="75"/>
      <c r="E59" s="75"/>
      <c r="F59" s="10"/>
      <c r="G59" s="10"/>
      <c r="H59" s="12"/>
    </row>
    <row r="60" spans="1:8" x14ac:dyDescent="0.2">
      <c r="A60" s="78"/>
      <c r="B60" s="75"/>
      <c r="C60" s="75"/>
      <c r="D60" s="75"/>
      <c r="E60" s="75"/>
      <c r="F60" s="10"/>
      <c r="G60" s="10"/>
      <c r="H60" s="12"/>
    </row>
    <row r="61" spans="1:8" x14ac:dyDescent="0.2">
      <c r="A61" s="78"/>
      <c r="B61" s="75"/>
      <c r="C61" s="75"/>
      <c r="D61" s="75"/>
      <c r="E61" s="75"/>
      <c r="F61" s="10"/>
      <c r="G61" s="10"/>
      <c r="H61" s="12"/>
    </row>
    <row r="62" spans="1:8" x14ac:dyDescent="0.2">
      <c r="A62" s="78"/>
      <c r="B62" s="75"/>
      <c r="C62" s="75"/>
      <c r="D62" s="75"/>
      <c r="E62" s="75"/>
      <c r="F62" s="10"/>
      <c r="G62" s="10"/>
      <c r="H62" s="12"/>
    </row>
    <row r="63" spans="1:8" x14ac:dyDescent="0.2">
      <c r="A63" s="79"/>
      <c r="B63" s="80"/>
      <c r="C63" s="80"/>
      <c r="D63" s="80"/>
      <c r="E63" s="80"/>
      <c r="F63" s="14"/>
      <c r="G63" s="14"/>
      <c r="H63" s="15"/>
    </row>
  </sheetData>
  <mergeCells count="4">
    <mergeCell ref="D2:E2"/>
    <mergeCell ref="G2:H2"/>
    <mergeCell ref="I2:K2"/>
    <mergeCell ref="B4:F4"/>
  </mergeCells>
  <phoneticPr fontId="2"/>
  <dataValidations count="1">
    <dataValidation type="list" allowBlank="1" showInputMessage="1" showErrorMessage="1" sqref="F6 D6" xr:uid="{0FC003BF-5042-47F8-A983-D805630E4DD5}">
      <formula1>$J$7:$J$9</formula1>
    </dataValidation>
  </dataValidations>
  <pageMargins left="0.78700000000000003" right="0.78700000000000003" top="0.98399999999999999" bottom="0.98399999999999999" header="0.51200000000000001" footer="0.51200000000000001"/>
  <pageSetup paperSize="9" scale="80" orientation="portrait" verticalDpi="300" r:id="rId1"/>
  <headerFooter alignWithMargins="0">
    <oddHeader>&amp;L
&amp;F&amp;C&amp;A&amp;R&amp;D</oddHeader>
    <oddFooter>&amp;LCONFIDENTIAL&amp;C株式会社 ISIDインターテクノロジー&amp;R&amp;P</oddFooter>
  </headerFooter>
  <rowBreaks count="1" manualBreakCount="1">
    <brk id="40" max="10"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ACD9EBEE2C42D4AB65B6A1186DB49BC" ma:contentTypeVersion="16" ma:contentTypeDescription="新しいドキュメントを作成します。" ma:contentTypeScope="" ma:versionID="e0ef7c233b85cc385374973a14af0240">
  <xsd:schema xmlns:xsd="http://www.w3.org/2001/XMLSchema" xmlns:xs="http://www.w3.org/2001/XMLSchema" xmlns:p="http://schemas.microsoft.com/office/2006/metadata/properties" xmlns:ns2="846a5916-ea51-4caf-8b26-59905a5247ab" xmlns:ns3="ad2c20aa-72f2-439e-8078-77083315cf8c" targetNamespace="http://schemas.microsoft.com/office/2006/metadata/properties" ma:root="true" ma:fieldsID="5d644766782f161bed31ee5592a66cb3" ns2:_="" ns3:_="">
    <xsd:import namespace="846a5916-ea51-4caf-8b26-59905a5247ab"/>
    <xsd:import namespace="ad2c20aa-72f2-439e-8078-77083315cf8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6a5916-ea51-4caf-8b26-59905a5247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785717d7-19ec-47d4-9288-ce56b1256b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d2c20aa-72f2-439e-8078-77083315cf8c"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f6ff14b-96dc-40cb-bb08-8bacc05ec04b}" ma:internalName="TaxCatchAll" ma:showField="CatchAllData" ma:web="ad2c20aa-72f2-439e-8078-77083315cf8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46a5916-ea51-4caf-8b26-59905a5247ab">
      <Terms xmlns="http://schemas.microsoft.com/office/infopath/2007/PartnerControls"/>
    </lcf76f155ced4ddcb4097134ff3c332f>
    <TaxCatchAll xmlns="ad2c20aa-72f2-439e-8078-77083315cf8c"/>
  </documentManagement>
</p:properties>
</file>

<file path=customXml/itemProps1.xml><?xml version="1.0" encoding="utf-8"?>
<ds:datastoreItem xmlns:ds="http://schemas.openxmlformats.org/officeDocument/2006/customXml" ds:itemID="{DC2C74BC-9B7A-40FB-BE8A-0C50F47CD7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6a5916-ea51-4caf-8b26-59905a5247ab"/>
    <ds:schemaRef ds:uri="ad2c20aa-72f2-439e-8078-77083315cf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014C2D2-2AAD-4ECC-B24F-B0B72A730093}">
  <ds:schemaRefs>
    <ds:schemaRef ds:uri="http://schemas.microsoft.com/sharepoint/v3/contenttype/forms"/>
  </ds:schemaRefs>
</ds:datastoreItem>
</file>

<file path=customXml/itemProps3.xml><?xml version="1.0" encoding="utf-8"?>
<ds:datastoreItem xmlns:ds="http://schemas.openxmlformats.org/officeDocument/2006/customXml" ds:itemID="{086A9C64-4BBA-4BFD-ACBA-321FA8F70D14}">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14</vt:i4>
      </vt:variant>
    </vt:vector>
  </HeadingPairs>
  <TitlesOfParts>
    <vt:vector size="22" baseType="lpstr">
      <vt:lpstr>変更履歴</vt:lpstr>
      <vt:lpstr>業務ロジック一覧</vt:lpstr>
      <vt:lpstr>検索</vt:lpstr>
      <vt:lpstr>テンプレート</vt:lpstr>
      <vt:lpstr>【BEN016L01】条件項目情報の取得</vt:lpstr>
      <vt:lpstr>【BEN016L02】検索対象情報取得</vt:lpstr>
      <vt:lpstr>【BEN016L03】CSV出力情報取得</vt:lpstr>
      <vt:lpstr>【BEN016L04】SVコード存在チェック</vt:lpstr>
      <vt:lpstr>【BEN016L01】条件項目情報の取得!Print_Area</vt:lpstr>
      <vt:lpstr>【BEN016L02】検索対象情報取得!Print_Area</vt:lpstr>
      <vt:lpstr>【BEN016L03】CSV出力情報取得!Print_Area</vt:lpstr>
      <vt:lpstr>【BEN016L04】SVコード存在チェック!Print_Area</vt:lpstr>
      <vt:lpstr>テンプレート!Print_Area</vt:lpstr>
      <vt:lpstr>業務ロジック一覧!Print_Area</vt:lpstr>
      <vt:lpstr>検索!Print_Area</vt:lpstr>
      <vt:lpstr>【BEN016L01】条件項目情報の取得!Print_Titles</vt:lpstr>
      <vt:lpstr>【BEN016L02】検索対象情報取得!Print_Titles</vt:lpstr>
      <vt:lpstr>【BEN016L03】CSV出力情報取得!Print_Titles</vt:lpstr>
      <vt:lpstr>【BEN016L04】SVコード存在チェック!Print_Titles</vt:lpstr>
      <vt:lpstr>テンプレート!Print_Titles</vt:lpstr>
      <vt:lpstr>業務ロジック一覧!Print_Titles</vt:lpstr>
      <vt:lpstr>検索!Print_Titles</vt:lpstr>
    </vt:vector>
  </TitlesOfParts>
  <Company>（株）電通国際情報サービス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正規ユーザ</dc:creator>
  <cp:lastModifiedBy>高松 颯大 Sota Takamatsu</cp:lastModifiedBy>
  <cp:lastPrinted>2006-12-21T08:46:14Z</cp:lastPrinted>
  <dcterms:created xsi:type="dcterms:W3CDTF">2003-09-11T02:43:16Z</dcterms:created>
  <dcterms:modified xsi:type="dcterms:W3CDTF">2025-12-27T12:51:20Z</dcterms:modified>
</cp:coreProperties>
</file>