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k2910\Documents\Mos-PoC-Takamatsu\format\"/>
    </mc:Choice>
  </mc:AlternateContent>
  <xr:revisionPtr revIDLastSave="0" documentId="8_{1ADAFE9E-6163-4180-B72E-48BCDE355A07}" xr6:coauthVersionLast="47" xr6:coauthVersionMax="47" xr10:uidLastSave="{00000000-0000-0000-0000-000000000000}"/>
  <bookViews>
    <workbookView xWindow="-110" yWindow="-110" windowWidth="19420" windowHeight="10300" tabRatio="808" activeTab="2" xr2:uid="{23ECD1FC-42A0-4933-B897-0F1CEB852E41}"/>
  </bookViews>
  <sheets>
    <sheet name="機能概要" sheetId="8" r:id="rId1"/>
    <sheet name="既存画面レイアウト" sheetId="13" r:id="rId2"/>
    <sheet name="要求仕様" sheetId="14" r:id="rId3"/>
    <sheet name="画面レイアウト" sheetId="12" r:id="rId4"/>
    <sheet name="画面構成" sheetId="1" r:id="rId5"/>
    <sheet name="コンポーネント一覧" sheetId="3" r:id="rId6"/>
    <sheet name="アクション" sheetId="4" r:id="rId7"/>
  </sheets>
  <definedNames>
    <definedName name="_xlnm._FilterDatabase" localSheetId="2" hidden="1">要求仕様!$A$5:$I$30</definedName>
    <definedName name="_xlnm.Print_Area" localSheetId="5">コンポーネント一覧!$A$1:$Z$59</definedName>
    <definedName name="_xlnm.Print_Area" localSheetId="3">画面レイアウト!$A$1:$Z$106</definedName>
    <definedName name="_xlnm.Print_Area" localSheetId="1">既存画面レイアウト!$A$1:$M$140</definedName>
    <definedName name="_xlnm.Print_Area" localSheetId="0">機能概要!$A$1:$Z$27</definedName>
    <definedName name="_xlnm.Print_Area" localSheetId="2">要求仕様!$A$1:$I$61</definedName>
    <definedName name="_xlnm.Print_Titles" localSheetId="6">アクション!$1:$4</definedName>
    <definedName name="_xlnm.Print_Titles" localSheetId="5">コンポーネント一覧!$1:$4</definedName>
    <definedName name="_xlnm.Print_Titles" localSheetId="3">画面レイアウト!$1:$4</definedName>
    <definedName name="_xlnm.Print_Titles" localSheetId="4">画面構成!$1:$4</definedName>
    <definedName name="_xlnm.Print_Titles" localSheetId="0">機能概要!$1:$5</definedName>
    <definedName name="_xlnm.Print_Titles" localSheetId="2">要求仕様!$1:$5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4" l="1"/>
  <c r="N5" i="14"/>
  <c r="M5" i="14"/>
  <c r="L5" i="14"/>
  <c r="K5" i="14"/>
  <c r="J5" i="14"/>
  <c r="C131" i="4"/>
  <c r="C117" i="4"/>
  <c r="C107" i="4"/>
  <c r="C98" i="4"/>
  <c r="C63" i="4"/>
  <c r="C39" i="4"/>
  <c r="C49" i="4"/>
  <c r="C6" i="4"/>
  <c r="G4" i="4"/>
  <c r="K4" i="4"/>
  <c r="N2" i="4"/>
  <c r="C2" i="4"/>
  <c r="A2" i="4"/>
  <c r="W2" i="4"/>
  <c r="S2" i="4"/>
  <c r="K4" i="3"/>
  <c r="N2" i="3"/>
  <c r="G4" i="3"/>
  <c r="C2" i="3"/>
  <c r="A2" i="3"/>
  <c r="W2" i="3"/>
  <c r="S2" i="3"/>
  <c r="G4" i="12"/>
  <c r="A2" i="12"/>
  <c r="C2" i="12"/>
</calcChain>
</file>

<file path=xl/sharedStrings.xml><?xml version="1.0" encoding="utf-8"?>
<sst xmlns="http://schemas.openxmlformats.org/spreadsheetml/2006/main" count="1224" uniqueCount="526">
  <si>
    <t>条件画面で設定された条件での全国大会の申込状況を支部、オーナー単位で表示してほしい。</t>
    <rPh sb="0" eb="2">
      <t>ジョウケン</t>
    </rPh>
    <rPh sb="2" eb="4">
      <t>ガメン</t>
    </rPh>
    <rPh sb="5" eb="7">
      <t>セッテイ</t>
    </rPh>
    <rPh sb="10" eb="12">
      <t>ジョウケン</t>
    </rPh>
    <rPh sb="14" eb="16">
      <t>ゼンコク</t>
    </rPh>
    <rPh sb="16" eb="18">
      <t>タイカイ</t>
    </rPh>
    <rPh sb="19" eb="21">
      <t>モウシコミ</t>
    </rPh>
    <rPh sb="21" eb="23">
      <t>ジョウキョウ</t>
    </rPh>
    <rPh sb="24" eb="26">
      <t>シブ</t>
    </rPh>
    <rPh sb="31" eb="33">
      <t>タンイ</t>
    </rPh>
    <rPh sb="34" eb="36">
      <t>ヒョウジ</t>
    </rPh>
    <phoneticPr fontId="2"/>
  </si>
  <si>
    <t>「開催日」は、yyyy/mm/dd（曜日）～yyyy/mm/dd（曜日）の形式で表示する。</t>
    <rPh sb="1" eb="4">
      <t>カイサイビ</t>
    </rPh>
    <rPh sb="18" eb="20">
      <t>ヨウビ</t>
    </rPh>
    <rPh sb="37" eb="39">
      <t>ケイシキ</t>
    </rPh>
    <rPh sb="40" eb="42">
      <t>ヒョウジ</t>
    </rPh>
    <phoneticPr fontId="2"/>
  </si>
  <si>
    <t xml:space="preserve">ヘッダー部として、「開催日」、「説明会名称」、「本部申込開始」、「本部申込終了」、「オーナー申込開始」、「オーナー申込終了」、「参加」、「不参加」、「区分」プルダウン、「ダウンロード」ボタン、「参加オーナー」、「参加人数」、「不参加オーナー」、「未登録オーナー」を表示する。
データ部として、「No.」、「支部」、「オーナー」、「参加」、「参加人数」を表示する。
</t>
    <rPh sb="16" eb="19">
      <t>セツメイカイ</t>
    </rPh>
    <rPh sb="19" eb="21">
      <t>メイショウ</t>
    </rPh>
    <rPh sb="64" eb="66">
      <t>サンカ</t>
    </rPh>
    <rPh sb="69" eb="72">
      <t>フサンカ</t>
    </rPh>
    <rPh sb="75" eb="77">
      <t>クブン</t>
    </rPh>
    <rPh sb="97" eb="99">
      <t>サンカ</t>
    </rPh>
    <rPh sb="106" eb="108">
      <t>サンカ</t>
    </rPh>
    <rPh sb="108" eb="110">
      <t>ニンズウ</t>
    </rPh>
    <rPh sb="113" eb="116">
      <t>フサンカ</t>
    </rPh>
    <rPh sb="123" eb="126">
      <t>ミトウロク</t>
    </rPh>
    <rPh sb="165" eb="167">
      <t>サンカ</t>
    </rPh>
    <rPh sb="170" eb="172">
      <t>サンカ</t>
    </rPh>
    <phoneticPr fontId="2"/>
  </si>
  <si>
    <t>　</t>
    <phoneticPr fontId="2"/>
  </si>
  <si>
    <t>00005 北の国</t>
    <rPh sb="6" eb="7">
      <t>キタ</t>
    </rPh>
    <rPh sb="8" eb="9">
      <t>クニ</t>
    </rPh>
    <phoneticPr fontId="2"/>
  </si>
  <si>
    <t>全オーナー</t>
    <rPh sb="0" eb="1">
      <t>ゼン</t>
    </rPh>
    <phoneticPr fontId="2"/>
  </si>
  <si>
    <t>事業方針</t>
    <rPh sb="0" eb="2">
      <t>ジギョウ</t>
    </rPh>
    <rPh sb="2" eb="4">
      <t>ホウシン</t>
    </rPh>
    <phoneticPr fontId="2"/>
  </si>
  <si>
    <t>出席</t>
    <rPh sb="0" eb="2">
      <t>シュッセキ</t>
    </rPh>
    <phoneticPr fontId="2"/>
  </si>
  <si>
    <t>欠席</t>
    <rPh sb="0" eb="2">
      <t>ケッセキ</t>
    </rPh>
    <phoneticPr fontId="2"/>
  </si>
  <si>
    <t>2</t>
    <phoneticPr fontId="2"/>
  </si>
  <si>
    <t>支部</t>
    <rPh sb="0" eb="2">
      <t>シブ</t>
    </rPh>
    <phoneticPr fontId="2"/>
  </si>
  <si>
    <t>オーナー</t>
    <phoneticPr fontId="2"/>
  </si>
  <si>
    <t>出席人数</t>
    <rPh sb="0" eb="2">
      <t>シュッセキ</t>
    </rPh>
    <rPh sb="2" eb="4">
      <t>ニンズウ</t>
    </rPh>
    <phoneticPr fontId="2"/>
  </si>
  <si>
    <t>No.</t>
    <phoneticPr fontId="2"/>
  </si>
  <si>
    <t>1</t>
    <phoneticPr fontId="2"/>
  </si>
  <si>
    <t>3</t>
    <phoneticPr fontId="2"/>
  </si>
  <si>
    <t>4</t>
  </si>
  <si>
    <t>5</t>
  </si>
  <si>
    <t>6</t>
  </si>
  <si>
    <t>7</t>
  </si>
  <si>
    <t>8</t>
  </si>
  <si>
    <t>9</t>
  </si>
  <si>
    <t>10</t>
  </si>
  <si>
    <t>北海道支部</t>
    <rPh sb="0" eb="3">
      <t>ホッカイドウ</t>
    </rPh>
    <rPh sb="3" eb="5">
      <t>シブ</t>
    </rPh>
    <phoneticPr fontId="2"/>
  </si>
  <si>
    <t>東北支部</t>
    <rPh sb="0" eb="2">
      <t>トウホク</t>
    </rPh>
    <rPh sb="2" eb="4">
      <t>シブ</t>
    </rPh>
    <phoneticPr fontId="2"/>
  </si>
  <si>
    <t>0</t>
    <phoneticPr fontId="2"/>
  </si>
  <si>
    <t>○</t>
    <phoneticPr fontId="2"/>
  </si>
  <si>
    <t>-</t>
    <phoneticPr fontId="2"/>
  </si>
  <si>
    <t>×</t>
    <phoneticPr fontId="2"/>
  </si>
  <si>
    <t>出席オーナー</t>
    <rPh sb="0" eb="2">
      <t>シュッセキ</t>
    </rPh>
    <phoneticPr fontId="2"/>
  </si>
  <si>
    <t>欠席オーナー</t>
    <rPh sb="0" eb="2">
      <t>ケッセキ</t>
    </rPh>
    <phoneticPr fontId="2"/>
  </si>
  <si>
    <t>未登録オーナー</t>
    <rPh sb="0" eb="3">
      <t>ミトウロク</t>
    </rPh>
    <phoneticPr fontId="2"/>
  </si>
  <si>
    <t>00000 （株）北海道</t>
    <rPh sb="7" eb="8">
      <t>カブ</t>
    </rPh>
    <rPh sb="9" eb="12">
      <t>ホッカイドウ</t>
    </rPh>
    <phoneticPr fontId="2"/>
  </si>
  <si>
    <t>00001 （株）札幌</t>
    <rPh sb="7" eb="8">
      <t>カブ</t>
    </rPh>
    <rPh sb="9" eb="11">
      <t>サッポロ</t>
    </rPh>
    <phoneticPr fontId="2"/>
  </si>
  <si>
    <t>00002 （株）長万部</t>
    <rPh sb="7" eb="8">
      <t>カブ</t>
    </rPh>
    <rPh sb="9" eb="12">
      <t>オシャマンベ</t>
    </rPh>
    <phoneticPr fontId="2"/>
  </si>
  <si>
    <t>00003 （株）国後</t>
    <rPh sb="7" eb="8">
      <t>カブ</t>
    </rPh>
    <rPh sb="9" eb="11">
      <t>クナシリ</t>
    </rPh>
    <phoneticPr fontId="2"/>
  </si>
  <si>
    <t>00004 （株）網走</t>
    <rPh sb="7" eb="8">
      <t>カブ</t>
    </rPh>
    <rPh sb="9" eb="11">
      <t>アバシリ</t>
    </rPh>
    <phoneticPr fontId="2"/>
  </si>
  <si>
    <t>00006 （株）苫小牧</t>
    <rPh sb="7" eb="8">
      <t>カブ</t>
    </rPh>
    <rPh sb="9" eb="12">
      <t>トマコマイ</t>
    </rPh>
    <phoneticPr fontId="2"/>
  </si>
  <si>
    <t>00007 （株）旭川</t>
    <rPh sb="7" eb="8">
      <t>カブ</t>
    </rPh>
    <rPh sb="9" eb="11">
      <t>アサヒカワ</t>
    </rPh>
    <phoneticPr fontId="2"/>
  </si>
  <si>
    <t>00008 秋田フードサービス</t>
    <rPh sb="6" eb="8">
      <t>アキタ</t>
    </rPh>
    <phoneticPr fontId="2"/>
  </si>
  <si>
    <t>対象条件によって、入力欄の内容が変わるため。</t>
    <rPh sb="0" eb="2">
      <t>タイショウ</t>
    </rPh>
    <rPh sb="2" eb="4">
      <t>ジョウケン</t>
    </rPh>
    <rPh sb="9" eb="11">
      <t>ニュウリョク</t>
    </rPh>
    <rPh sb="11" eb="12">
      <t>ラン</t>
    </rPh>
    <rPh sb="13" eb="15">
      <t>ナイヨウ</t>
    </rPh>
    <rPh sb="16" eb="17">
      <t>カ</t>
    </rPh>
    <phoneticPr fontId="2"/>
  </si>
  <si>
    <t>BXX00XL03</t>
  </si>
  <si>
    <t>BXX00XL04</t>
  </si>
  <si>
    <t>[BIRD]</t>
    <phoneticPr fontId="2"/>
  </si>
  <si>
    <t>画面設計書</t>
    <rPh sb="0" eb="2">
      <t>ガメン</t>
    </rPh>
    <rPh sb="2" eb="4">
      <t>セッケイ</t>
    </rPh>
    <rPh sb="4" eb="5">
      <t>ショ</t>
    </rPh>
    <phoneticPr fontId="2"/>
  </si>
  <si>
    <t>画面構成</t>
    <rPh sb="0" eb="2">
      <t>ガメン</t>
    </rPh>
    <rPh sb="2" eb="4">
      <t>コウセイ</t>
    </rPh>
    <phoneticPr fontId="2"/>
  </si>
  <si>
    <r>
      <t>画面I</t>
    </r>
    <r>
      <rPr>
        <sz val="11"/>
        <rFont val="ＭＳ Ｐゴシック"/>
        <family val="3"/>
        <charset val="128"/>
      </rPr>
      <t>D</t>
    </r>
    <rPh sb="0" eb="2">
      <t>ガメン</t>
    </rPh>
    <phoneticPr fontId="2"/>
  </si>
  <si>
    <t>画面名</t>
    <rPh sb="0" eb="2">
      <t>ガメン</t>
    </rPh>
    <rPh sb="2" eb="3">
      <t>メイ</t>
    </rPh>
    <phoneticPr fontId="2"/>
  </si>
  <si>
    <t>機能概要</t>
    <rPh sb="0" eb="2">
      <t>キノウ</t>
    </rPh>
    <rPh sb="2" eb="4">
      <t>ガイヨウ</t>
    </rPh>
    <phoneticPr fontId="2"/>
  </si>
  <si>
    <t>構成概要</t>
    <rPh sb="0" eb="2">
      <t>コウセイ</t>
    </rPh>
    <rPh sb="2" eb="4">
      <t>ガイヨウ</t>
    </rPh>
    <phoneticPr fontId="2"/>
  </si>
  <si>
    <t>パッケージルート</t>
    <phoneticPr fontId="2"/>
  </si>
  <si>
    <t>画面タイプ</t>
    <rPh sb="0" eb="2">
      <t>ガメン</t>
    </rPh>
    <phoneticPr fontId="2"/>
  </si>
  <si>
    <t>検索エンジン型</t>
    <rPh sb="0" eb="2">
      <t>ケンサク</t>
    </rPh>
    <rPh sb="6" eb="7">
      <t>カタ</t>
    </rPh>
    <phoneticPr fontId="2"/>
  </si>
  <si>
    <t>テーブル</t>
    <phoneticPr fontId="2"/>
  </si>
  <si>
    <t>view</t>
    <phoneticPr fontId="2"/>
  </si>
  <si>
    <t>action</t>
    <phoneticPr fontId="2"/>
  </si>
  <si>
    <t>logic</t>
    <phoneticPr fontId="2"/>
  </si>
  <si>
    <t>dao</t>
    <phoneticPr fontId="2"/>
  </si>
  <si>
    <t>画面レイアウト</t>
    <rPh sb="0" eb="2">
      <t>ガメン</t>
    </rPh>
    <phoneticPr fontId="2"/>
  </si>
  <si>
    <r>
      <t>ビューI</t>
    </r>
    <r>
      <rPr>
        <sz val="11"/>
        <rFont val="ＭＳ Ｐゴシック"/>
        <family val="3"/>
        <charset val="128"/>
      </rPr>
      <t>D</t>
    </r>
    <phoneticPr fontId="2"/>
  </si>
  <si>
    <t>ビュー名</t>
    <rPh sb="3" eb="4">
      <t>メイ</t>
    </rPh>
    <phoneticPr fontId="2"/>
  </si>
  <si>
    <t>備考</t>
    <rPh sb="0" eb="2">
      <t>ビコウ</t>
    </rPh>
    <phoneticPr fontId="2"/>
  </si>
  <si>
    <t>JSF名</t>
    <rPh sb="3" eb="4">
      <t>メイ</t>
    </rPh>
    <phoneticPr fontId="2"/>
  </si>
  <si>
    <t>CSS名</t>
    <rPh sb="3" eb="4">
      <t>メイ</t>
    </rPh>
    <phoneticPr fontId="2"/>
  </si>
  <si>
    <t>本部：申込開始</t>
    <rPh sb="0" eb="2">
      <t>ホンブ</t>
    </rPh>
    <rPh sb="3" eb="5">
      <t>モウシコミ</t>
    </rPh>
    <rPh sb="5" eb="7">
      <t>カイシ</t>
    </rPh>
    <phoneticPr fontId="2"/>
  </si>
  <si>
    <t>本部：申込終了</t>
    <rPh sb="0" eb="2">
      <t>ホンブ</t>
    </rPh>
    <rPh sb="3" eb="5">
      <t>モウシコミ</t>
    </rPh>
    <rPh sb="5" eb="7">
      <t>シュウリョウ</t>
    </rPh>
    <phoneticPr fontId="2"/>
  </si>
  <si>
    <t>コンポーネント一覧</t>
    <rPh sb="7" eb="9">
      <t>イチラン</t>
    </rPh>
    <phoneticPr fontId="2"/>
  </si>
  <si>
    <t>項目名</t>
    <rPh sb="0" eb="2">
      <t>コウモク</t>
    </rPh>
    <rPh sb="2" eb="3">
      <t>メイ</t>
    </rPh>
    <phoneticPr fontId="2"/>
  </si>
  <si>
    <t>編集</t>
    <rPh sb="0" eb="2">
      <t>ヘンシュウ</t>
    </rPh>
    <phoneticPr fontId="2"/>
  </si>
  <si>
    <t>表示</t>
    <rPh sb="0" eb="2">
      <t>ヒョウジ</t>
    </rPh>
    <phoneticPr fontId="2"/>
  </si>
  <si>
    <t>データタイプ</t>
    <phoneticPr fontId="2"/>
  </si>
  <si>
    <t>桁数</t>
    <rPh sb="0" eb="2">
      <t>ケタスウ</t>
    </rPh>
    <phoneticPr fontId="2"/>
  </si>
  <si>
    <t>コントロール</t>
    <phoneticPr fontId="2"/>
  </si>
  <si>
    <t>初期値</t>
    <rPh sb="0" eb="2">
      <t>ショキ</t>
    </rPh>
    <rPh sb="2" eb="3">
      <t>アタイ</t>
    </rPh>
    <phoneticPr fontId="2"/>
  </si>
  <si>
    <t>必須</t>
    <rPh sb="0" eb="2">
      <t>ヒッス</t>
    </rPh>
    <phoneticPr fontId="2"/>
  </si>
  <si>
    <t>対応プロパティ・アクション</t>
    <rPh sb="0" eb="2">
      <t>タイオウ</t>
    </rPh>
    <phoneticPr fontId="2"/>
  </si>
  <si>
    <t>○</t>
    <phoneticPr fontId="2"/>
  </si>
  <si>
    <t>×</t>
    <phoneticPr fontId="2"/>
  </si>
  <si>
    <t>○</t>
    <phoneticPr fontId="2"/>
  </si>
  <si>
    <t>-</t>
    <phoneticPr fontId="2"/>
  </si>
  <si>
    <t>ボタン</t>
    <phoneticPr fontId="2"/>
  </si>
  <si>
    <t>-</t>
    <phoneticPr fontId="2"/>
  </si>
  <si>
    <t>-</t>
    <phoneticPr fontId="2"/>
  </si>
  <si>
    <t>文字列</t>
    <rPh sb="0" eb="3">
      <t>モジレツ</t>
    </rPh>
    <phoneticPr fontId="2"/>
  </si>
  <si>
    <t>日付文字列</t>
    <rPh sb="0" eb="2">
      <t>ヒヅケ</t>
    </rPh>
    <rPh sb="2" eb="5">
      <t>モジレツ</t>
    </rPh>
    <phoneticPr fontId="2"/>
  </si>
  <si>
    <t>オーナー：申込開始</t>
    <rPh sb="5" eb="7">
      <t>モウシコミ</t>
    </rPh>
    <rPh sb="7" eb="9">
      <t>カイシ</t>
    </rPh>
    <phoneticPr fontId="2"/>
  </si>
  <si>
    <t>オーナー：申込終了</t>
    <rPh sb="5" eb="7">
      <t>モウシコミ</t>
    </rPh>
    <rPh sb="7" eb="9">
      <t>シュウリョウ</t>
    </rPh>
    <phoneticPr fontId="2"/>
  </si>
  <si>
    <t>アクション</t>
    <phoneticPr fontId="2"/>
  </si>
  <si>
    <r>
      <t>アクションI</t>
    </r>
    <r>
      <rPr>
        <sz val="11"/>
        <rFont val="ＭＳ Ｐゴシック"/>
        <family val="3"/>
        <charset val="128"/>
      </rPr>
      <t>D</t>
    </r>
    <phoneticPr fontId="2"/>
  </si>
  <si>
    <t>アクション名</t>
    <rPh sb="5" eb="6">
      <t>メイ</t>
    </rPh>
    <phoneticPr fontId="2"/>
  </si>
  <si>
    <t>遷移先ビュー</t>
    <rPh sb="0" eb="2">
      <t>センイ</t>
    </rPh>
    <rPh sb="2" eb="3">
      <t>サキ</t>
    </rPh>
    <phoneticPr fontId="2"/>
  </si>
  <si>
    <t>呼出し元（null）</t>
    <rPh sb="0" eb="2">
      <t>ヨビダシ</t>
    </rPh>
    <rPh sb="3" eb="4">
      <t>モト</t>
    </rPh>
    <phoneticPr fontId="2"/>
  </si>
  <si>
    <t>事前条件</t>
    <rPh sb="0" eb="2">
      <t>ジゼン</t>
    </rPh>
    <rPh sb="2" eb="4">
      <t>ジョウケン</t>
    </rPh>
    <phoneticPr fontId="2"/>
  </si>
  <si>
    <t>処理概要</t>
    <rPh sb="0" eb="2">
      <t>ショリ</t>
    </rPh>
    <rPh sb="2" eb="4">
      <t>ガイヨウ</t>
    </rPh>
    <phoneticPr fontId="2"/>
  </si>
  <si>
    <t>事後条件</t>
    <rPh sb="0" eb="2">
      <t>ジゴ</t>
    </rPh>
    <rPh sb="2" eb="4">
      <t>ジョウケン</t>
    </rPh>
    <phoneticPr fontId="2"/>
  </si>
  <si>
    <r>
      <t>アクションI</t>
    </r>
    <r>
      <rPr>
        <sz val="11"/>
        <rFont val="ＭＳ Ｐゴシック"/>
        <family val="3"/>
        <charset val="128"/>
      </rPr>
      <t>D</t>
    </r>
    <phoneticPr fontId="2"/>
  </si>
  <si>
    <t>-</t>
    <phoneticPr fontId="2"/>
  </si>
  <si>
    <t>[BIRD]　要求仕様書</t>
    <rPh sb="7" eb="9">
      <t>ヨウキュウ</t>
    </rPh>
    <rPh sb="9" eb="11">
      <t>シヨウ</t>
    </rPh>
    <rPh sb="11" eb="12">
      <t>ショ</t>
    </rPh>
    <phoneticPr fontId="2"/>
  </si>
  <si>
    <t>フィーチャ</t>
    <phoneticPr fontId="2"/>
  </si>
  <si>
    <t>要求番号</t>
    <rPh sb="0" eb="2">
      <t>ヨウキュウ</t>
    </rPh>
    <rPh sb="2" eb="4">
      <t>バンゴウ</t>
    </rPh>
    <phoneticPr fontId="2"/>
  </si>
  <si>
    <t>仕様番号</t>
    <rPh sb="0" eb="2">
      <t>シヨウ</t>
    </rPh>
    <rPh sb="2" eb="4">
      <t>バンゴウ</t>
    </rPh>
    <phoneticPr fontId="2"/>
  </si>
  <si>
    <t>優先</t>
    <rPh sb="0" eb="2">
      <t>ユウセン</t>
    </rPh>
    <phoneticPr fontId="2"/>
  </si>
  <si>
    <t>分類</t>
    <rPh sb="0" eb="2">
      <t>ブンルイ</t>
    </rPh>
    <phoneticPr fontId="2"/>
  </si>
  <si>
    <t>内容</t>
    <rPh sb="0" eb="2">
      <t>ナイヨウ</t>
    </rPh>
    <phoneticPr fontId="2"/>
  </si>
  <si>
    <t>追加変更日</t>
    <rPh sb="0" eb="2">
      <t>ツイカ</t>
    </rPh>
    <rPh sb="2" eb="4">
      <t>ヘンコウ</t>
    </rPh>
    <rPh sb="4" eb="5">
      <t>ビ</t>
    </rPh>
    <phoneticPr fontId="2"/>
  </si>
  <si>
    <t>条件の設定</t>
    <rPh sb="0" eb="2">
      <t>ジョウケン</t>
    </rPh>
    <rPh sb="3" eb="5">
      <t>セッテイ</t>
    </rPh>
    <phoneticPr fontId="2"/>
  </si>
  <si>
    <t>A</t>
    <phoneticPr fontId="2"/>
  </si>
  <si>
    <t>要求</t>
    <rPh sb="0" eb="2">
      <t>ヨウキュウ</t>
    </rPh>
    <phoneticPr fontId="2"/>
  </si>
  <si>
    <t>理由</t>
    <rPh sb="0" eb="2">
      <t>リユウ</t>
    </rPh>
    <phoneticPr fontId="2"/>
  </si>
  <si>
    <t>説明</t>
    <rPh sb="0" eb="2">
      <t>セツメイ</t>
    </rPh>
    <phoneticPr fontId="2"/>
  </si>
  <si>
    <t>仕様</t>
    <rPh sb="0" eb="2">
      <t>シヨウ</t>
    </rPh>
    <phoneticPr fontId="2"/>
  </si>
  <si>
    <t>ＦRQ0201</t>
    <phoneticPr fontId="2"/>
  </si>
  <si>
    <t>A</t>
    <phoneticPr fontId="2"/>
  </si>
  <si>
    <t>A</t>
    <phoneticPr fontId="2"/>
  </si>
  <si>
    <t>A</t>
    <phoneticPr fontId="2"/>
  </si>
  <si>
    <t>申請管理</t>
    <rPh sb="0" eb="2">
      <t>シンセイ</t>
    </rPh>
    <rPh sb="2" eb="4">
      <t>カンリ</t>
    </rPh>
    <phoneticPr fontId="2"/>
  </si>
  <si>
    <t>開催日</t>
    <rPh sb="0" eb="3">
      <t>カイサイビ</t>
    </rPh>
    <phoneticPr fontId="2"/>
  </si>
  <si>
    <t>オーナー：申込開始</t>
    <rPh sb="5" eb="7">
      <t>モウシコミ</t>
    </rPh>
    <phoneticPr fontId="2"/>
  </si>
  <si>
    <t>本部     ：申込開始</t>
    <rPh sb="0" eb="2">
      <t>ホンブ</t>
    </rPh>
    <rPh sb="8" eb="10">
      <t>モウシコミ</t>
    </rPh>
    <phoneticPr fontId="2"/>
  </si>
  <si>
    <t>本部     ：申込終了</t>
    <rPh sb="0" eb="2">
      <t>ホンブ</t>
    </rPh>
    <phoneticPr fontId="2"/>
  </si>
  <si>
    <t>ＦRQ0201</t>
    <phoneticPr fontId="2"/>
  </si>
  <si>
    <t>[BIRD]</t>
    <phoneticPr fontId="2"/>
  </si>
  <si>
    <t>要求仕様書</t>
    <rPh sb="0" eb="5">
      <t>ヨウキュウシヨウショ</t>
    </rPh>
    <phoneticPr fontId="2"/>
  </si>
  <si>
    <t>フィーチャ</t>
    <phoneticPr fontId="2"/>
  </si>
  <si>
    <t>機能の目的</t>
    <rPh sb="0" eb="2">
      <t>キノウ</t>
    </rPh>
    <rPh sb="3" eb="5">
      <t>モクテキ</t>
    </rPh>
    <phoneticPr fontId="2"/>
  </si>
  <si>
    <t>想定ユーザ</t>
    <rPh sb="0" eb="2">
      <t>ソウテイ</t>
    </rPh>
    <phoneticPr fontId="2"/>
  </si>
  <si>
    <t>機能の概要</t>
    <rPh sb="0" eb="2">
      <t>キノウ</t>
    </rPh>
    <rPh sb="3" eb="5">
      <t>ガイヨウ</t>
    </rPh>
    <phoneticPr fontId="2"/>
  </si>
  <si>
    <t>補足説明（用語説明、業務ルールなど）</t>
    <rPh sb="0" eb="2">
      <t>ホソク</t>
    </rPh>
    <rPh sb="2" eb="4">
      <t>セツメイ</t>
    </rPh>
    <rPh sb="5" eb="7">
      <t>ヨウゴ</t>
    </rPh>
    <rPh sb="7" eb="9">
      <t>セツメイ</t>
    </rPh>
    <rPh sb="10" eb="12">
      <t>ギョウム</t>
    </rPh>
    <phoneticPr fontId="2"/>
  </si>
  <si>
    <t xml:space="preserve"> </t>
    <phoneticPr fontId="2"/>
  </si>
  <si>
    <t>営業推進グループ様</t>
    <rPh sb="0" eb="2">
      <t>エイギョウ</t>
    </rPh>
    <rPh sb="2" eb="4">
      <t>スイシン</t>
    </rPh>
    <rPh sb="8" eb="9">
      <t>サマ</t>
    </rPh>
    <phoneticPr fontId="2"/>
  </si>
  <si>
    <t>入力ミスによる問題の発生を回避するため。</t>
    <rPh sb="0" eb="2">
      <t>ニュウリョク</t>
    </rPh>
    <rPh sb="7" eb="9">
      <t>モンダイ</t>
    </rPh>
    <rPh sb="10" eb="12">
      <t>ハッセイ</t>
    </rPh>
    <rPh sb="13" eb="15">
      <t>カイヒ</t>
    </rPh>
    <phoneticPr fontId="2"/>
  </si>
  <si>
    <t>検索条件のエラーチェックをかけてほしい。</t>
    <rPh sb="0" eb="2">
      <t>ケンサク</t>
    </rPh>
    <rPh sb="2" eb="4">
      <t>ジョウケン</t>
    </rPh>
    <phoneticPr fontId="2"/>
  </si>
  <si>
    <t>オーナー：申込終了</t>
    <phoneticPr fontId="2"/>
  </si>
  <si>
    <t>2006/08/21</t>
    <phoneticPr fontId="2"/>
  </si>
  <si>
    <t xml:space="preserve">2006/08/30 </t>
    <phoneticPr fontId="2"/>
  </si>
  <si>
    <t>body.css</t>
    <phoneticPr fontId="2"/>
  </si>
  <si>
    <t>body.css</t>
    <phoneticPr fontId="2"/>
  </si>
  <si>
    <r>
      <t>ビューI</t>
    </r>
    <r>
      <rPr>
        <sz val="11"/>
        <rFont val="ＭＳ Ｐゴシック"/>
        <family val="3"/>
        <charset val="128"/>
      </rPr>
      <t>D</t>
    </r>
    <phoneticPr fontId="2"/>
  </si>
  <si>
    <t>条件画面にて条件と対象を選択し、実行ボタン押下で結果画面を表示する。</t>
    <rPh sb="6" eb="8">
      <t>ジョウケン</t>
    </rPh>
    <rPh sb="9" eb="11">
      <t>タイショウ</t>
    </rPh>
    <rPh sb="12" eb="14">
      <t>センタク</t>
    </rPh>
    <rPh sb="16" eb="18">
      <t>ジッコウ</t>
    </rPh>
    <rPh sb="21" eb="23">
      <t>オウカ</t>
    </rPh>
    <rPh sb="24" eb="26">
      <t>ケッカ</t>
    </rPh>
    <rPh sb="26" eb="28">
      <t>ガメン</t>
    </rPh>
    <rPh sb="29" eb="31">
      <t>ヒョウジ</t>
    </rPh>
    <phoneticPr fontId="2"/>
  </si>
  <si>
    <t>結果画面では、条件画面で選択された条件と対象に合う内容を表示し、表示されている内容をCSVダウンロードする。</t>
    <rPh sb="0" eb="2">
      <t>ケッカ</t>
    </rPh>
    <rPh sb="2" eb="4">
      <t>ガメン</t>
    </rPh>
    <rPh sb="7" eb="9">
      <t>ジョウケン</t>
    </rPh>
    <rPh sb="9" eb="11">
      <t>ガメン</t>
    </rPh>
    <rPh sb="12" eb="14">
      <t>センタク</t>
    </rPh>
    <rPh sb="17" eb="19">
      <t>ジョウケン</t>
    </rPh>
    <rPh sb="20" eb="22">
      <t>タイショウ</t>
    </rPh>
    <rPh sb="23" eb="24">
      <t>ア</t>
    </rPh>
    <rPh sb="25" eb="27">
      <t>ナイヨウ</t>
    </rPh>
    <rPh sb="28" eb="30">
      <t>ヒョウジ</t>
    </rPh>
    <rPh sb="32" eb="34">
      <t>ヒョウジ</t>
    </rPh>
    <rPh sb="39" eb="41">
      <t>ナイヨウ</t>
    </rPh>
    <phoneticPr fontId="2"/>
  </si>
  <si>
    <t>対象条件</t>
    <rPh sb="0" eb="2">
      <t>タイショウ</t>
    </rPh>
    <rPh sb="2" eb="4">
      <t>ジョウケン</t>
    </rPh>
    <phoneticPr fontId="2"/>
  </si>
  <si>
    <t>条件指定については、結果画面上でも再指定ができるようにしたい。</t>
    <rPh sb="2" eb="4">
      <t>シテイ</t>
    </rPh>
    <rPh sb="10" eb="12">
      <t>ケッカ</t>
    </rPh>
    <rPh sb="12" eb="14">
      <t>ガメン</t>
    </rPh>
    <rPh sb="14" eb="15">
      <t>ジョウ</t>
    </rPh>
    <rPh sb="17" eb="20">
      <t>サイシテイ</t>
    </rPh>
    <phoneticPr fontId="2"/>
  </si>
  <si>
    <t>条件画面と結果画面を行き来するのではなく、結果画面上で連続操作することで作業効率が上がるため。</t>
    <rPh sb="0" eb="2">
      <t>ジョウケン</t>
    </rPh>
    <rPh sb="2" eb="4">
      <t>ガメン</t>
    </rPh>
    <rPh sb="5" eb="7">
      <t>ケッカ</t>
    </rPh>
    <rPh sb="7" eb="9">
      <t>ガメン</t>
    </rPh>
    <rPh sb="10" eb="13">
      <t>イキキ</t>
    </rPh>
    <rPh sb="21" eb="23">
      <t>ケッカ</t>
    </rPh>
    <rPh sb="23" eb="25">
      <t>ガメン</t>
    </rPh>
    <rPh sb="25" eb="26">
      <t>ジョウ</t>
    </rPh>
    <rPh sb="27" eb="29">
      <t>レンゾク</t>
    </rPh>
    <rPh sb="29" eb="31">
      <t>ソウサ</t>
    </rPh>
    <rPh sb="36" eb="38">
      <t>サギョウ</t>
    </rPh>
    <rPh sb="38" eb="40">
      <t>コウリツ</t>
    </rPh>
    <rPh sb="41" eb="42">
      <t>ア</t>
    </rPh>
    <phoneticPr fontId="2"/>
  </si>
  <si>
    <t>一覧検索系画面での標準動作。</t>
    <rPh sb="0" eb="2">
      <t>イチラン</t>
    </rPh>
    <rPh sb="2" eb="4">
      <t>ケンサク</t>
    </rPh>
    <rPh sb="4" eb="5">
      <t>ケイ</t>
    </rPh>
    <rPh sb="5" eb="7">
      <t>ガメン</t>
    </rPh>
    <rPh sb="9" eb="11">
      <t>ヒョウジュン</t>
    </rPh>
    <rPh sb="11" eb="13">
      <t>ドウサ</t>
    </rPh>
    <phoneticPr fontId="2"/>
  </si>
  <si>
    <t>未登録</t>
    <rPh sb="0" eb="3">
      <t>ミトウロク</t>
    </rPh>
    <phoneticPr fontId="2"/>
  </si>
  <si>
    <t>全て</t>
    <rPh sb="0" eb="1">
      <t>スベ</t>
    </rPh>
    <phoneticPr fontId="2"/>
  </si>
  <si>
    <t>結果の表示</t>
    <rPh sb="0" eb="2">
      <t>ケッカ</t>
    </rPh>
    <rPh sb="3" eb="5">
      <t>ヒョウジ</t>
    </rPh>
    <phoneticPr fontId="2"/>
  </si>
  <si>
    <t>未登録オーナーに対して、登録を促すため。</t>
    <rPh sb="0" eb="3">
      <t>ミトウロク</t>
    </rPh>
    <rPh sb="8" eb="9">
      <t>タイ</t>
    </rPh>
    <rPh sb="12" eb="14">
      <t>トウロク</t>
    </rPh>
    <rPh sb="15" eb="16">
      <t>ウナガ</t>
    </rPh>
    <phoneticPr fontId="2"/>
  </si>
  <si>
    <t>1</t>
    <phoneticPr fontId="2"/>
  </si>
  <si>
    <t>2</t>
    <phoneticPr fontId="2"/>
  </si>
  <si>
    <t>3</t>
    <phoneticPr fontId="2"/>
  </si>
  <si>
    <t>500</t>
    <phoneticPr fontId="2"/>
  </si>
  <si>
    <t>区分</t>
    <rPh sb="0" eb="2">
      <t>クブン</t>
    </rPh>
    <phoneticPr fontId="2"/>
  </si>
  <si>
    <t>区分ごとの参加者を知りたいため</t>
    <rPh sb="0" eb="2">
      <t>クブン</t>
    </rPh>
    <rPh sb="5" eb="8">
      <t>サンカシャ</t>
    </rPh>
    <rPh sb="9" eb="10">
      <t>シ</t>
    </rPh>
    <phoneticPr fontId="2"/>
  </si>
  <si>
    <t>A</t>
    <phoneticPr fontId="2"/>
  </si>
  <si>
    <t>ＦRQ0105</t>
  </si>
  <si>
    <t>A</t>
    <phoneticPr fontId="2"/>
  </si>
  <si>
    <t>条件にヒットするデータが存在する場合は、検索結果を表示する。</t>
    <rPh sb="0" eb="2">
      <t>ジョウケン</t>
    </rPh>
    <rPh sb="12" eb="14">
      <t>ソンザイ</t>
    </rPh>
    <rPh sb="16" eb="18">
      <t>バアイ</t>
    </rPh>
    <rPh sb="20" eb="22">
      <t>ケンサク</t>
    </rPh>
    <rPh sb="22" eb="24">
      <t>ケッカ</t>
    </rPh>
    <rPh sb="25" eb="27">
      <t>ヒョウジ</t>
    </rPh>
    <phoneticPr fontId="2"/>
  </si>
  <si>
    <t>初期表示時のボタン名は「実行」とし、一度正常に結果が表示された後はボタン名は「再検索」とする。</t>
    <rPh sb="0" eb="2">
      <t>ショキ</t>
    </rPh>
    <rPh sb="2" eb="4">
      <t>ヒョウジ</t>
    </rPh>
    <rPh sb="4" eb="5">
      <t>ジ</t>
    </rPh>
    <rPh sb="9" eb="10">
      <t>メイ</t>
    </rPh>
    <rPh sb="12" eb="14">
      <t>ジッコウ</t>
    </rPh>
    <rPh sb="18" eb="20">
      <t>イチド</t>
    </rPh>
    <rPh sb="20" eb="22">
      <t>セイジョウ</t>
    </rPh>
    <rPh sb="23" eb="25">
      <t>ケッカ</t>
    </rPh>
    <rPh sb="26" eb="28">
      <t>ヒョウジ</t>
    </rPh>
    <rPh sb="31" eb="32">
      <t>アト</t>
    </rPh>
    <rPh sb="36" eb="37">
      <t>メイ</t>
    </rPh>
    <rPh sb="39" eb="42">
      <t>サイケンサク</t>
    </rPh>
    <phoneticPr fontId="2"/>
  </si>
  <si>
    <t>BEN012V01</t>
    <phoneticPr fontId="2"/>
  </si>
  <si>
    <t>未登録オーナー様を判別し、登録をうながすことが可能となる。</t>
    <rPh sb="0" eb="3">
      <t>ミトウロク</t>
    </rPh>
    <rPh sb="7" eb="8">
      <t>サマ</t>
    </rPh>
    <rPh sb="9" eb="11">
      <t>ハンベツ</t>
    </rPh>
    <rPh sb="13" eb="15">
      <t>トウロク</t>
    </rPh>
    <rPh sb="23" eb="25">
      <t>カノウ</t>
    </rPh>
    <phoneticPr fontId="2"/>
  </si>
  <si>
    <t>データ部は、支部の昇順、オーナーの昇順で並べる。</t>
    <rPh sb="3" eb="4">
      <t>ブ</t>
    </rPh>
    <rPh sb="6" eb="8">
      <t>シブ</t>
    </rPh>
    <rPh sb="17" eb="19">
      <t>ショウジュン</t>
    </rPh>
    <rPh sb="20" eb="21">
      <t>ナラ</t>
    </rPh>
    <phoneticPr fontId="2"/>
  </si>
  <si>
    <t>プルダウン</t>
    <phoneticPr fontId="2"/>
  </si>
  <si>
    <t>実行</t>
    <rPh sb="0" eb="2">
      <t>ジッコウ</t>
    </rPh>
    <phoneticPr fontId="2"/>
  </si>
  <si>
    <t>ラベル</t>
    <phoneticPr fontId="2"/>
  </si>
  <si>
    <t>全角文字列</t>
    <phoneticPr fontId="2"/>
  </si>
  <si>
    <t>-</t>
  </si>
  <si>
    <t>　　　　　数値文字列</t>
    <phoneticPr fontId="2"/>
  </si>
  <si>
    <t>ダウンロード</t>
    <phoneticPr fontId="2"/>
  </si>
  <si>
    <t>ボタン</t>
    <phoneticPr fontId="2"/>
  </si>
  <si>
    <t>No.</t>
    <phoneticPr fontId="2"/>
  </si>
  <si>
    <t>　　　　　文字列</t>
    <phoneticPr fontId="2"/>
  </si>
  <si>
    <t>オーナー</t>
    <phoneticPr fontId="2"/>
  </si>
  <si>
    <t>　　　　　文字列</t>
    <phoneticPr fontId="2"/>
  </si>
  <si>
    <t>△</t>
    <phoneticPr fontId="2"/>
  </si>
  <si>
    <t>・｢対象条件｣プルダウンのデフォルトが｢全オーナー｣になっていること</t>
    <rPh sb="2" eb="4">
      <t>タイショウ</t>
    </rPh>
    <rPh sb="4" eb="6">
      <t>ジョウケン</t>
    </rPh>
    <rPh sb="20" eb="21">
      <t>ゼン</t>
    </rPh>
    <phoneticPr fontId="2"/>
  </si>
  <si>
    <r>
      <t>ビューI</t>
    </r>
    <r>
      <rPr>
        <sz val="11"/>
        <rFont val="ＭＳ Ｐゴシック"/>
        <family val="3"/>
        <charset val="128"/>
      </rPr>
      <t>D</t>
    </r>
    <phoneticPr fontId="2"/>
  </si>
  <si>
    <t>各種イベント申込状況確認画面　条件画面</t>
    <rPh sb="0" eb="2">
      <t>カクシュ</t>
    </rPh>
    <rPh sb="6" eb="10">
      <t>モウシコミジョウキョウ</t>
    </rPh>
    <rPh sb="10" eb="12">
      <t>カクニン</t>
    </rPh>
    <rPh sb="12" eb="14">
      <t>ガメン</t>
    </rPh>
    <rPh sb="15" eb="17">
      <t>ジョウケン</t>
    </rPh>
    <rPh sb="17" eb="19">
      <t>ガメン</t>
    </rPh>
    <phoneticPr fontId="2"/>
  </si>
  <si>
    <t>businessPlanView</t>
    <phoneticPr fontId="2"/>
  </si>
  <si>
    <t>body.css</t>
    <phoneticPr fontId="2"/>
  </si>
  <si>
    <t>■各種イベント申込状況確認</t>
    <rPh sb="1" eb="3">
      <t>カクシュ</t>
    </rPh>
    <rPh sb="7" eb="9">
      <t>モウシコミ</t>
    </rPh>
    <rPh sb="9" eb="11">
      <t>ジョウキョウ</t>
    </rPh>
    <rPh sb="11" eb="13">
      <t>カクニン</t>
    </rPh>
    <phoneticPr fontId="2"/>
  </si>
  <si>
    <t>全国大会</t>
    <rPh sb="0" eb="2">
      <t>ゼンコク</t>
    </rPh>
    <rPh sb="2" eb="4">
      <t>タイカイ</t>
    </rPh>
    <phoneticPr fontId="2"/>
  </si>
  <si>
    <t>各種イベント申込状況確認</t>
    <rPh sb="0" eb="2">
      <t>カクシュ</t>
    </rPh>
    <rPh sb="6" eb="10">
      <t>モウシコミジョウキョウ</t>
    </rPh>
    <rPh sb="10" eb="12">
      <t>カクニン</t>
    </rPh>
    <phoneticPr fontId="2"/>
  </si>
  <si>
    <t>店統合マスタ（BM01TENM）</t>
    <phoneticPr fontId="2"/>
  </si>
  <si>
    <t>汎用店舗グループ（支部）（BM10GSIB）</t>
    <rPh sb="0" eb="2">
      <t>ハンヨウ</t>
    </rPh>
    <rPh sb="2" eb="4">
      <t>テンポ</t>
    </rPh>
    <rPh sb="9" eb="11">
      <t>シブ</t>
    </rPh>
    <phoneticPr fontId="2"/>
  </si>
  <si>
    <t>グループ統合オーナマスタ（BM11ONER）</t>
    <rPh sb="4" eb="6">
      <t>トウゴウ</t>
    </rPh>
    <phoneticPr fontId="2"/>
  </si>
  <si>
    <t>加盟店スタッフマスタ（BM12STAF）</t>
    <rPh sb="0" eb="2">
      <t>カメイ</t>
    </rPh>
    <rPh sb="2" eb="3">
      <t>テン</t>
    </rPh>
    <phoneticPr fontId="2"/>
  </si>
  <si>
    <t>エントリーマスタ管理（BR17ENTL）</t>
    <rPh sb="8" eb="10">
      <t>カンリ</t>
    </rPh>
    <phoneticPr fontId="2"/>
  </si>
  <si>
    <t>エントリー日付管理（BR18ENTD）</t>
    <rPh sb="5" eb="7">
      <t>ヒヅケ</t>
    </rPh>
    <rPh sb="7" eb="9">
      <t>カンリ</t>
    </rPh>
    <phoneticPr fontId="2"/>
  </si>
  <si>
    <t>Birdユーザ（BR01USER）</t>
    <phoneticPr fontId="2"/>
  </si>
  <si>
    <t>対象名</t>
    <rPh sb="0" eb="2">
      <t>タイショウ</t>
    </rPh>
    <rPh sb="2" eb="3">
      <t>メイ</t>
    </rPh>
    <phoneticPr fontId="2"/>
  </si>
  <si>
    <t>申込開始</t>
    <rPh sb="0" eb="2">
      <t>モウシコミ</t>
    </rPh>
    <rPh sb="2" eb="4">
      <t>カイシ</t>
    </rPh>
    <phoneticPr fontId="2"/>
  </si>
  <si>
    <t>申込終了</t>
    <rPh sb="0" eb="2">
      <t>モウシコミ</t>
    </rPh>
    <rPh sb="2" eb="4">
      <t>シュウリョウ</t>
    </rPh>
    <phoneticPr fontId="2"/>
  </si>
  <si>
    <t>2006/09/10(日)</t>
    <phoneticPr fontId="2"/>
  </si>
  <si>
    <t>平成１８年度事業方針説明会</t>
    <phoneticPr fontId="2"/>
  </si>
  <si>
    <t>2006/11/16(木)～2006/11/17(金)</t>
    <rPh sb="11" eb="12">
      <t>モク</t>
    </rPh>
    <rPh sb="25" eb="26">
      <t>キン</t>
    </rPh>
    <phoneticPr fontId="2"/>
  </si>
  <si>
    <t>平成１８年度開催　全国大会</t>
    <rPh sb="6" eb="8">
      <t>カイサイ</t>
    </rPh>
    <rPh sb="9" eb="11">
      <t>ゼンコク</t>
    </rPh>
    <rPh sb="11" eb="13">
      <t>タイカイ</t>
    </rPh>
    <phoneticPr fontId="2"/>
  </si>
  <si>
    <t>店長勉強会</t>
    <rPh sb="0" eb="2">
      <t>テンチョウ</t>
    </rPh>
    <rPh sb="2" eb="4">
      <t>ベンキョウ</t>
    </rPh>
    <rPh sb="4" eb="5">
      <t>カイ</t>
    </rPh>
    <phoneticPr fontId="2"/>
  </si>
  <si>
    <t>2006/12/11(月)～2006/12/12(火)</t>
    <rPh sb="11" eb="12">
      <t>ゲツ</t>
    </rPh>
    <rPh sb="25" eb="26">
      <t>ヒ</t>
    </rPh>
    <phoneticPr fontId="2"/>
  </si>
  <si>
    <t>平成１８年度開催　全国店長勉強会</t>
    <rPh sb="6" eb="8">
      <t>カイサイ</t>
    </rPh>
    <rPh sb="9" eb="11">
      <t>ゼンコク</t>
    </rPh>
    <rPh sb="11" eb="13">
      <t>テンチョウ</t>
    </rPh>
    <rPh sb="13" eb="15">
      <t>ベンキョウ</t>
    </rPh>
    <rPh sb="15" eb="16">
      <t>カイ</t>
    </rPh>
    <phoneticPr fontId="2"/>
  </si>
  <si>
    <t>トレーサビリティマトリクス</t>
    <phoneticPr fontId="2"/>
  </si>
  <si>
    <t>NO</t>
    <phoneticPr fontId="2"/>
  </si>
  <si>
    <t>カテゴリ</t>
    <phoneticPr fontId="2"/>
  </si>
  <si>
    <t>○○データ</t>
    <phoneticPr fontId="2"/>
  </si>
  <si>
    <t>A</t>
    <phoneticPr fontId="2"/>
  </si>
  <si>
    <t>A</t>
    <phoneticPr fontId="2"/>
  </si>
  <si>
    <t>ＦRQ0101</t>
    <phoneticPr fontId="2"/>
  </si>
  <si>
    <t>ＦRQ0101</t>
    <phoneticPr fontId="2"/>
  </si>
  <si>
    <t>A</t>
    <phoneticPr fontId="2"/>
  </si>
  <si>
    <t>A</t>
    <phoneticPr fontId="2"/>
  </si>
  <si>
    <t>ＦRQ0102</t>
    <phoneticPr fontId="2"/>
  </si>
  <si>
    <t>ＦRQ0102</t>
    <phoneticPr fontId="2"/>
  </si>
  <si>
    <t>A</t>
    <phoneticPr fontId="2"/>
  </si>
  <si>
    <t>ＦRQ0205</t>
    <phoneticPr fontId="2"/>
  </si>
  <si>
    <t>SP020501</t>
    <phoneticPr fontId="2"/>
  </si>
  <si>
    <t>SP020502</t>
    <phoneticPr fontId="2"/>
  </si>
  <si>
    <t>A</t>
    <phoneticPr fontId="2"/>
  </si>
  <si>
    <t>SP020503</t>
    <phoneticPr fontId="2"/>
  </si>
  <si>
    <t>A</t>
    <phoneticPr fontId="2"/>
  </si>
  <si>
    <t>ＦRQ0301</t>
    <phoneticPr fontId="2"/>
  </si>
  <si>
    <t>ＦRQ0201</t>
    <phoneticPr fontId="2"/>
  </si>
  <si>
    <t>ＦRQ0201</t>
    <phoneticPr fontId="2"/>
  </si>
  <si>
    <t>ＦRQ0201</t>
    <phoneticPr fontId="2"/>
  </si>
  <si>
    <t>SP030101</t>
    <phoneticPr fontId="2"/>
  </si>
  <si>
    <t>A</t>
    <phoneticPr fontId="2"/>
  </si>
  <si>
    <t>ＦRQ0201</t>
    <phoneticPr fontId="2"/>
  </si>
  <si>
    <t>ＦRQ0302</t>
    <phoneticPr fontId="2"/>
  </si>
  <si>
    <t>SP030201</t>
    <phoneticPr fontId="2"/>
  </si>
  <si>
    <t>ＦRQ0201</t>
    <phoneticPr fontId="2"/>
  </si>
  <si>
    <t xml:space="preserve">SP030202 </t>
    <phoneticPr fontId="2"/>
  </si>
  <si>
    <t>SP030204</t>
    <phoneticPr fontId="2"/>
  </si>
  <si>
    <t>ＦRQ0101</t>
    <phoneticPr fontId="2"/>
  </si>
  <si>
    <t>SP010101</t>
    <phoneticPr fontId="2"/>
  </si>
  <si>
    <t>SP010103</t>
  </si>
  <si>
    <t>SP010104</t>
  </si>
  <si>
    <t>SP030102</t>
  </si>
  <si>
    <t>SP030104</t>
  </si>
  <si>
    <t>SP030105</t>
  </si>
  <si>
    <t>SP030106</t>
  </si>
  <si>
    <t>SP030107</t>
  </si>
  <si>
    <t>SP030108</t>
  </si>
  <si>
    <t>SP030109</t>
  </si>
  <si>
    <t>SP030110</t>
  </si>
  <si>
    <t>SP030111</t>
  </si>
  <si>
    <t>ＳＶコード</t>
    <phoneticPr fontId="2"/>
  </si>
  <si>
    <t>エントリーオーナー宛先情報（BT21ENOJ）</t>
    <phoneticPr fontId="2"/>
  </si>
  <si>
    <t>初期処理</t>
    <rPh sb="0" eb="2">
      <t>ショキ</t>
    </rPh>
    <rPh sb="2" eb="4">
      <t>ショリ</t>
    </rPh>
    <phoneticPr fontId="2"/>
  </si>
  <si>
    <t>全国大会申込状況確認　初期画面</t>
    <rPh sb="0" eb="2">
      <t>ゼンコク</t>
    </rPh>
    <rPh sb="2" eb="4">
      <t>タイカイ</t>
    </rPh>
    <rPh sb="4" eb="6">
      <t>モウシコミ</t>
    </rPh>
    <rPh sb="6" eb="8">
      <t>ジョウキョウ</t>
    </rPh>
    <rPh sb="8" eb="10">
      <t>カクニン</t>
    </rPh>
    <rPh sb="11" eb="13">
      <t>ショキ</t>
    </rPh>
    <rPh sb="13" eb="15">
      <t>ガメン</t>
    </rPh>
    <phoneticPr fontId="2"/>
  </si>
  <si>
    <t>NationalView</t>
    <phoneticPr fontId="2"/>
  </si>
  <si>
    <t>BEN016V01</t>
    <phoneticPr fontId="2"/>
  </si>
  <si>
    <t>作成者：ISID 加藤
作成日：2006/11/28</t>
    <rPh sb="0" eb="3">
      <t>サクセイシャ</t>
    </rPh>
    <rPh sb="9" eb="11">
      <t>カトウ</t>
    </rPh>
    <rPh sb="12" eb="15">
      <t>サクセイビ</t>
    </rPh>
    <phoneticPr fontId="2"/>
  </si>
  <si>
    <t>更新者：ISID 加藤
更新日：2006/11/28</t>
    <rPh sb="0" eb="3">
      <t>コウシンシャ</t>
    </rPh>
    <rPh sb="9" eb="11">
      <t>カトウ</t>
    </rPh>
    <rPh sb="12" eb="15">
      <t>コウシンビ</t>
    </rPh>
    <phoneticPr fontId="2"/>
  </si>
  <si>
    <t>全国大会申込状況確認</t>
    <rPh sb="0" eb="2">
      <t>ゼンコク</t>
    </rPh>
    <rPh sb="2" eb="4">
      <t>タイカイ</t>
    </rPh>
    <rPh sb="4" eb="6">
      <t>モウシコミ</t>
    </rPh>
    <rPh sb="6" eb="8">
      <t>ジョウキョウ</t>
    </rPh>
    <rPh sb="8" eb="10">
      <t>カクニン</t>
    </rPh>
    <phoneticPr fontId="2"/>
  </si>
  <si>
    <t>全国大会への申込状況を確認する。</t>
    <rPh sb="0" eb="2">
      <t>ゼンコク</t>
    </rPh>
    <rPh sb="2" eb="4">
      <t>タイカイ</t>
    </rPh>
    <rPh sb="8" eb="10">
      <t>ジョウキョウ</t>
    </rPh>
    <rPh sb="11" eb="13">
      <t>カクニン</t>
    </rPh>
    <phoneticPr fontId="2"/>
  </si>
  <si>
    <t>管理番号：DN-030103-019.01
分類　　　：要求仕様書</t>
    <rPh sb="28" eb="30">
      <t>ヨウキュウ</t>
    </rPh>
    <rPh sb="30" eb="32">
      <t>シヨウ</t>
    </rPh>
    <rPh sb="32" eb="33">
      <t>ショ</t>
    </rPh>
    <phoneticPr fontId="2"/>
  </si>
  <si>
    <t>新潟・群馬・栃木支部</t>
    <rPh sb="0" eb="2">
      <t>ニイガタ</t>
    </rPh>
    <rPh sb="3" eb="5">
      <t>グンマ</t>
    </rPh>
    <rPh sb="6" eb="8">
      <t>トチギ</t>
    </rPh>
    <rPh sb="8" eb="10">
      <t>シブ</t>
    </rPh>
    <phoneticPr fontId="2"/>
  </si>
  <si>
    <t>埼玉支部</t>
    <rPh sb="0" eb="2">
      <t>サイタマ</t>
    </rPh>
    <rPh sb="2" eb="4">
      <t>シブ</t>
    </rPh>
    <phoneticPr fontId="2"/>
  </si>
  <si>
    <t>千葉・茨城支部</t>
    <rPh sb="0" eb="2">
      <t>チバ</t>
    </rPh>
    <rPh sb="3" eb="5">
      <t>イバラキ</t>
    </rPh>
    <rPh sb="5" eb="7">
      <t>シブ</t>
    </rPh>
    <phoneticPr fontId="2"/>
  </si>
  <si>
    <t>東京支部</t>
    <rPh sb="0" eb="2">
      <t>トウキョウ</t>
    </rPh>
    <rPh sb="2" eb="4">
      <t>シブ</t>
    </rPh>
    <phoneticPr fontId="2"/>
  </si>
  <si>
    <t>神奈川支部</t>
    <rPh sb="0" eb="3">
      <t>カナガワ</t>
    </rPh>
    <rPh sb="3" eb="5">
      <t>シブ</t>
    </rPh>
    <phoneticPr fontId="2"/>
  </si>
  <si>
    <t>甲信支部</t>
    <rPh sb="0" eb="2">
      <t>コウシン</t>
    </rPh>
    <rPh sb="2" eb="4">
      <t>シブ</t>
    </rPh>
    <phoneticPr fontId="2"/>
  </si>
  <si>
    <t>静岡支部</t>
    <rPh sb="0" eb="2">
      <t>シズオカ</t>
    </rPh>
    <rPh sb="2" eb="4">
      <t>シブ</t>
    </rPh>
    <phoneticPr fontId="2"/>
  </si>
  <si>
    <t>中京北陸支部</t>
    <rPh sb="0" eb="2">
      <t>チュウキョウ</t>
    </rPh>
    <rPh sb="2" eb="4">
      <t>ホクリク</t>
    </rPh>
    <rPh sb="4" eb="6">
      <t>シブ</t>
    </rPh>
    <phoneticPr fontId="2"/>
  </si>
  <si>
    <t>関西支部</t>
    <rPh sb="0" eb="2">
      <t>カンサイ</t>
    </rPh>
    <rPh sb="2" eb="4">
      <t>シブ</t>
    </rPh>
    <phoneticPr fontId="2"/>
  </si>
  <si>
    <t>・・・</t>
    <phoneticPr fontId="2"/>
  </si>
  <si>
    <t>参加</t>
    <rPh sb="0" eb="2">
      <t>サンカ</t>
    </rPh>
    <phoneticPr fontId="2"/>
  </si>
  <si>
    <t>不参加</t>
    <rPh sb="0" eb="3">
      <t>フサンカ</t>
    </rPh>
    <phoneticPr fontId="2"/>
  </si>
  <si>
    <t>平成１８年度開催　全国大会</t>
    <phoneticPr fontId="2"/>
  </si>
  <si>
    <t>参加オーナー</t>
    <rPh sb="0" eb="2">
      <t>サンカ</t>
    </rPh>
    <phoneticPr fontId="2"/>
  </si>
  <si>
    <t>不参加オーナー</t>
    <rPh sb="0" eb="3">
      <t>フサンカ</t>
    </rPh>
    <phoneticPr fontId="2"/>
  </si>
  <si>
    <t>参加人数</t>
    <rPh sb="0" eb="2">
      <t>サンカ</t>
    </rPh>
    <rPh sb="2" eb="4">
      <t>ニンズウ</t>
    </rPh>
    <phoneticPr fontId="2"/>
  </si>
  <si>
    <t>■全国大会申込状況確認</t>
    <rPh sb="1" eb="3">
      <t>ゼンコク</t>
    </rPh>
    <rPh sb="3" eb="5">
      <t>タイカイ</t>
    </rPh>
    <rPh sb="5" eb="7">
      <t>モウシコミ</t>
    </rPh>
    <rPh sb="7" eb="9">
      <t>ジョウキョウ</t>
    </rPh>
    <rPh sb="9" eb="11">
      <t>カクニン</t>
    </rPh>
    <phoneticPr fontId="2"/>
  </si>
  <si>
    <t>全国大会申込状況確認　結果画面</t>
    <rPh sb="0" eb="2">
      <t>ゼンコク</t>
    </rPh>
    <rPh sb="2" eb="4">
      <t>タイカイ</t>
    </rPh>
    <rPh sb="4" eb="6">
      <t>モウシコミ</t>
    </rPh>
    <rPh sb="6" eb="8">
      <t>ジョウキョウ</t>
    </rPh>
    <rPh sb="8" eb="10">
      <t>カクニン</t>
    </rPh>
    <rPh sb="11" eb="13">
      <t>ケッカ</t>
    </rPh>
    <rPh sb="13" eb="15">
      <t>ガメン</t>
    </rPh>
    <phoneticPr fontId="2"/>
  </si>
  <si>
    <t>SP010102</t>
    <phoneticPr fontId="2"/>
  </si>
  <si>
    <t>全国大会の参加・不参加のオーナー数、参加人数の把握及び確認を行うため。</t>
    <rPh sb="0" eb="2">
      <t>ゼンコク</t>
    </rPh>
    <rPh sb="2" eb="4">
      <t>タイカイ</t>
    </rPh>
    <rPh sb="5" eb="7">
      <t>サンカ</t>
    </rPh>
    <rPh sb="8" eb="11">
      <t>フサンカ</t>
    </rPh>
    <rPh sb="16" eb="17">
      <t>スウ</t>
    </rPh>
    <rPh sb="18" eb="20">
      <t>サンカ</t>
    </rPh>
    <rPh sb="20" eb="22">
      <t>ニンズウ</t>
    </rPh>
    <rPh sb="23" eb="25">
      <t>ハアク</t>
    </rPh>
    <rPh sb="25" eb="26">
      <t>オヨ</t>
    </rPh>
    <rPh sb="27" eb="29">
      <t>カクニン</t>
    </rPh>
    <rPh sb="30" eb="31">
      <t>オコナ</t>
    </rPh>
    <phoneticPr fontId="2"/>
  </si>
  <si>
    <t>全国大会は２年に１度行われる。</t>
    <rPh sb="0" eb="2">
      <t>ゼンコク</t>
    </rPh>
    <rPh sb="2" eb="4">
      <t>タイカイ</t>
    </rPh>
    <rPh sb="6" eb="7">
      <t>ネン</t>
    </rPh>
    <rPh sb="9" eb="10">
      <t>ド</t>
    </rPh>
    <rPh sb="10" eb="11">
      <t>オコナ</t>
    </rPh>
    <phoneticPr fontId="2"/>
  </si>
  <si>
    <t xml:space="preserve">①「対象条件」プルダウンには、「全オーナー」「支部」「SVコード」を一覧し、デフォルトでは「全オーナー」が選択されている状態にする。
</t>
    <rPh sb="2" eb="4">
      <t>タイショウ</t>
    </rPh>
    <rPh sb="4" eb="6">
      <t>ジョウケン</t>
    </rPh>
    <rPh sb="16" eb="17">
      <t>ゼン</t>
    </rPh>
    <rPh sb="23" eb="25">
      <t>シブ</t>
    </rPh>
    <rPh sb="34" eb="36">
      <t>イチラン</t>
    </rPh>
    <rPh sb="46" eb="47">
      <t>ゼン</t>
    </rPh>
    <rPh sb="53" eb="55">
      <t>センタク</t>
    </rPh>
    <rPh sb="60" eb="62">
      <t>ジョウタイ</t>
    </rPh>
    <phoneticPr fontId="2"/>
  </si>
  <si>
    <t>「対象条件」が「SVコード」の場合、選択ボタン押下で、SV選択画面へ遷移し、SVを選択後、選択されたSVコードをフィールドに反映させる。</t>
    <rPh sb="1" eb="3">
      <t>タイショウ</t>
    </rPh>
    <rPh sb="3" eb="5">
      <t>ジョウケン</t>
    </rPh>
    <rPh sb="15" eb="17">
      <t>バアイ</t>
    </rPh>
    <rPh sb="18" eb="20">
      <t>センタク</t>
    </rPh>
    <rPh sb="23" eb="25">
      <t>オウカ</t>
    </rPh>
    <rPh sb="29" eb="31">
      <t>センタク</t>
    </rPh>
    <rPh sb="31" eb="33">
      <t>ガメン</t>
    </rPh>
    <rPh sb="34" eb="36">
      <t>センイ</t>
    </rPh>
    <rPh sb="41" eb="43">
      <t>センタク</t>
    </rPh>
    <rPh sb="43" eb="44">
      <t>ゴ</t>
    </rPh>
    <rPh sb="45" eb="47">
      <t>センタク</t>
    </rPh>
    <rPh sb="62" eb="64">
      <t>ハンエイ</t>
    </rPh>
    <phoneticPr fontId="2"/>
  </si>
  <si>
    <t>表示対象</t>
    <rPh sb="0" eb="2">
      <t>ヒョウジ</t>
    </rPh>
    <rPh sb="2" eb="4">
      <t>タイショウ</t>
    </rPh>
    <phoneticPr fontId="2"/>
  </si>
  <si>
    <t>選択された全国大会の申込状況を確認できるようにしてほしい。</t>
    <rPh sb="0" eb="2">
      <t>センタク</t>
    </rPh>
    <rPh sb="5" eb="7">
      <t>ゼンコク</t>
    </rPh>
    <rPh sb="7" eb="9">
      <t>タイカイ</t>
    </rPh>
    <rPh sb="10" eb="12">
      <t>モウシコミ</t>
    </rPh>
    <rPh sb="12" eb="14">
      <t>ジョウキョウ</t>
    </rPh>
    <rPh sb="15" eb="17">
      <t>カクニン</t>
    </rPh>
    <phoneticPr fontId="2"/>
  </si>
  <si>
    <t>表示対象を対象条件に合わせて動的に変えたい。</t>
    <rPh sb="0" eb="2">
      <t>ヒョウジ</t>
    </rPh>
    <rPh sb="2" eb="4">
      <t>タイショウ</t>
    </rPh>
    <rPh sb="5" eb="7">
      <t>タイショウ</t>
    </rPh>
    <rPh sb="7" eb="9">
      <t>ジョウケン</t>
    </rPh>
    <rPh sb="10" eb="11">
      <t>ア</t>
    </rPh>
    <rPh sb="14" eb="16">
      <t>ドウテキ</t>
    </rPh>
    <rPh sb="17" eb="18">
      <t>カ</t>
    </rPh>
    <phoneticPr fontId="2"/>
  </si>
  <si>
    <t>SP020302</t>
    <phoneticPr fontId="2"/>
  </si>
  <si>
    <t>SP020303</t>
    <phoneticPr fontId="2"/>
  </si>
  <si>
    <t xml:space="preserve">条件部として、①「対象条件」プルダウン、②「表示対象」（デフォルトでは非表示）、③実行ボタンを表示する。
表示項目として、選択された全国大会の「開催日」、「説明会名称」、「本部申込開始」、「本部申込終了」、「オーナー申込開始」、「オーナー申込終了」、「参加」、「不参加」を表示する。
</t>
    <rPh sb="0" eb="2">
      <t>ジョウケン</t>
    </rPh>
    <rPh sb="2" eb="3">
      <t>ブ</t>
    </rPh>
    <rPh sb="9" eb="11">
      <t>タイショウ</t>
    </rPh>
    <rPh sb="11" eb="13">
      <t>ジョウケン</t>
    </rPh>
    <rPh sb="22" eb="24">
      <t>ヒョウジ</t>
    </rPh>
    <rPh sb="24" eb="26">
      <t>タイショウ</t>
    </rPh>
    <rPh sb="35" eb="38">
      <t>ヒヒョウジ</t>
    </rPh>
    <rPh sb="41" eb="43">
      <t>ジッコウ</t>
    </rPh>
    <rPh sb="47" eb="49">
      <t>ヒョウジ</t>
    </rPh>
    <rPh sb="54" eb="56">
      <t>ヒョウジ</t>
    </rPh>
    <rPh sb="56" eb="58">
      <t>コウモク</t>
    </rPh>
    <rPh sb="62" eb="64">
      <t>センタク</t>
    </rPh>
    <rPh sb="67" eb="69">
      <t>ゼンコク</t>
    </rPh>
    <rPh sb="69" eb="71">
      <t>タイカイ</t>
    </rPh>
    <rPh sb="73" eb="76">
      <t>カイサイビ</t>
    </rPh>
    <rPh sb="79" eb="82">
      <t>セツメイカイ</t>
    </rPh>
    <rPh sb="82" eb="84">
      <t>メイショウ</t>
    </rPh>
    <rPh sb="87" eb="89">
      <t>ホンブ</t>
    </rPh>
    <rPh sb="89" eb="91">
      <t>モウシコミ</t>
    </rPh>
    <rPh sb="91" eb="93">
      <t>カイシ</t>
    </rPh>
    <rPh sb="96" eb="98">
      <t>ホンブ</t>
    </rPh>
    <rPh sb="98" eb="100">
      <t>モウシコミ</t>
    </rPh>
    <rPh sb="100" eb="102">
      <t>シュウリョウ</t>
    </rPh>
    <rPh sb="109" eb="111">
      <t>モウシコミ</t>
    </rPh>
    <rPh sb="111" eb="113">
      <t>カイシ</t>
    </rPh>
    <rPh sb="120" eb="122">
      <t>モウシコミ</t>
    </rPh>
    <rPh sb="122" eb="124">
      <t>シュウリョウ</t>
    </rPh>
    <rPh sb="127" eb="129">
      <t>サンカ</t>
    </rPh>
    <rPh sb="132" eb="135">
      <t>フサンカ</t>
    </rPh>
    <rPh sb="137" eb="139">
      <t>ヒョウジ</t>
    </rPh>
    <phoneticPr fontId="2"/>
  </si>
  <si>
    <t>③「実行」ボタン押下時、条件にヒットするデータが存在しない場合は、「該当データが存在しません。」のようにメッセージを表示し、現在の画面を再表示する。</t>
    <rPh sb="2" eb="4">
      <t>ジッコウ</t>
    </rPh>
    <rPh sb="8" eb="10">
      <t>オウカ</t>
    </rPh>
    <rPh sb="10" eb="11">
      <t>ジ</t>
    </rPh>
    <rPh sb="12" eb="14">
      <t>ジョウケン</t>
    </rPh>
    <rPh sb="24" eb="26">
      <t>ソンザイ</t>
    </rPh>
    <rPh sb="29" eb="31">
      <t>バアイ</t>
    </rPh>
    <rPh sb="34" eb="36">
      <t>ガイトウ</t>
    </rPh>
    <rPh sb="40" eb="42">
      <t>ソンザイ</t>
    </rPh>
    <rPh sb="58" eb="60">
      <t>ヒョウジ</t>
    </rPh>
    <rPh sb="62" eb="64">
      <t>ゲンザイ</t>
    </rPh>
    <rPh sb="65" eb="67">
      <t>ガメン</t>
    </rPh>
    <rPh sb="68" eb="71">
      <t>サイヒョウジ</t>
    </rPh>
    <phoneticPr fontId="2"/>
  </si>
  <si>
    <t>③「実行」ボタン押下時、「対象条件」が「SVコード」で、「表示対象」入力欄が空欄の場合は「SVコードを入力してください。」のようにメッセージを表示し、現在の画面を再表示する。</t>
    <rPh sb="2" eb="4">
      <t>ジッコウ</t>
    </rPh>
    <rPh sb="8" eb="10">
      <t>オウカ</t>
    </rPh>
    <rPh sb="10" eb="11">
      <t>ジ</t>
    </rPh>
    <rPh sb="13" eb="15">
      <t>タイショウ</t>
    </rPh>
    <rPh sb="15" eb="17">
      <t>ジョウケン</t>
    </rPh>
    <rPh sb="29" eb="31">
      <t>ヒョウジ</t>
    </rPh>
    <rPh sb="31" eb="33">
      <t>タイショウ</t>
    </rPh>
    <phoneticPr fontId="2"/>
  </si>
  <si>
    <t xml:space="preserve">③「実行」ボタン押下時、「対象条件」が「SVコード」で、「表示対象」入力欄に半角数値以外の文字が入力されていた場合は、「SVコードは半角数字8桁以内で入力して下さい。」のようにメッセージを表示し、現在の画面を再表示する。
</t>
    <rPh sb="13" eb="15">
      <t>タイショウ</t>
    </rPh>
    <rPh sb="15" eb="17">
      <t>ジョウケン</t>
    </rPh>
    <rPh sb="29" eb="31">
      <t>ヒョウジ</t>
    </rPh>
    <rPh sb="31" eb="33">
      <t>タイショウ</t>
    </rPh>
    <rPh sb="98" eb="100">
      <t>ゲンザイ</t>
    </rPh>
    <rPh sb="101" eb="103">
      <t>ガメン</t>
    </rPh>
    <phoneticPr fontId="2"/>
  </si>
  <si>
    <t>③「再検索」押下時、条件にヒットするデータが存在しない場合は、「該当データが存在しません。」というメッセージを表示し、現在の画面を再表示する。</t>
    <rPh sb="2" eb="5">
      <t>サイケンサク</t>
    </rPh>
    <rPh sb="6" eb="8">
      <t>オウカ</t>
    </rPh>
    <rPh sb="8" eb="9">
      <t>ジ</t>
    </rPh>
    <rPh sb="10" eb="12">
      <t>ジョウケン</t>
    </rPh>
    <rPh sb="22" eb="24">
      <t>ソンザイ</t>
    </rPh>
    <rPh sb="27" eb="29">
      <t>バアイ</t>
    </rPh>
    <rPh sb="32" eb="34">
      <t>ガイトウ</t>
    </rPh>
    <rPh sb="38" eb="40">
      <t>ソンザイ</t>
    </rPh>
    <rPh sb="55" eb="57">
      <t>ヒョウジ</t>
    </rPh>
    <rPh sb="59" eb="61">
      <t>ゲンザイ</t>
    </rPh>
    <rPh sb="62" eb="64">
      <t>ガメン</t>
    </rPh>
    <rPh sb="65" eb="68">
      <t>サイヒョウジ</t>
    </rPh>
    <phoneticPr fontId="2"/>
  </si>
  <si>
    <t>③「実行」ボタン押下時、条件にヒットするデータが存在する場合は、検索結果を表示する。</t>
    <rPh sb="2" eb="4">
      <t>ジッコウ</t>
    </rPh>
    <rPh sb="8" eb="10">
      <t>オウカ</t>
    </rPh>
    <rPh sb="10" eb="11">
      <t>ジ</t>
    </rPh>
    <rPh sb="12" eb="14">
      <t>ジョウケン</t>
    </rPh>
    <rPh sb="24" eb="26">
      <t>ソンザイ</t>
    </rPh>
    <rPh sb="28" eb="30">
      <t>バアイ</t>
    </rPh>
    <rPh sb="32" eb="34">
      <t>ケンサク</t>
    </rPh>
    <rPh sb="34" eb="36">
      <t>ケッカ</t>
    </rPh>
    <rPh sb="37" eb="39">
      <t>ヒョウジ</t>
    </rPh>
    <phoneticPr fontId="2"/>
  </si>
  <si>
    <t>ＦRQ0201</t>
    <phoneticPr fontId="2"/>
  </si>
  <si>
    <t>A</t>
    <phoneticPr fontId="2"/>
  </si>
  <si>
    <t>対象条件が「全オーナー」の場合、「表示対象」は表示しない。
※デフォルトが「全オーナー」のため、デフォルトでは非表示とする。</t>
    <rPh sb="0" eb="2">
      <t>タイショウ</t>
    </rPh>
    <rPh sb="2" eb="4">
      <t>ジョウケン</t>
    </rPh>
    <rPh sb="6" eb="7">
      <t>ゼン</t>
    </rPh>
    <rPh sb="13" eb="15">
      <t>バアイ</t>
    </rPh>
    <rPh sb="17" eb="19">
      <t>ヒョウジ</t>
    </rPh>
    <rPh sb="19" eb="21">
      <t>タイショウ</t>
    </rPh>
    <rPh sb="23" eb="25">
      <t>ヒョウジ</t>
    </rPh>
    <rPh sb="38" eb="39">
      <t>ゼン</t>
    </rPh>
    <rPh sb="55" eb="58">
      <t>ヒヒョウジ</t>
    </rPh>
    <phoneticPr fontId="2"/>
  </si>
  <si>
    <t>対象条件が「支部」の場合、「表示対象」に支部プルダウンを表示し、デフォルトで一番上の支部を選択しておく。</t>
    <rPh sb="0" eb="2">
      <t>タイショウ</t>
    </rPh>
    <rPh sb="2" eb="4">
      <t>ジョウケン</t>
    </rPh>
    <rPh sb="6" eb="8">
      <t>シブ</t>
    </rPh>
    <rPh sb="10" eb="12">
      <t>バアイ</t>
    </rPh>
    <rPh sb="14" eb="16">
      <t>ヒョウジ</t>
    </rPh>
    <rPh sb="16" eb="18">
      <t>タイショウ</t>
    </rPh>
    <rPh sb="20" eb="22">
      <t>シブ</t>
    </rPh>
    <rPh sb="28" eb="30">
      <t>ヒョウジ</t>
    </rPh>
    <rPh sb="38" eb="40">
      <t>イチバン</t>
    </rPh>
    <rPh sb="40" eb="41">
      <t>ウエ</t>
    </rPh>
    <rPh sb="42" eb="44">
      <t>シブ</t>
    </rPh>
    <rPh sb="45" eb="47">
      <t>センタク</t>
    </rPh>
    <phoneticPr fontId="2"/>
  </si>
  <si>
    <t>対象条件がSVコードの場合、「表示対象」に入力欄を表示し、最大入力可能文字数は、8文字となるよう制限をかける。また、半角のみ入力可能となるよう制限をかける。</t>
    <rPh sb="0" eb="2">
      <t>タイショウ</t>
    </rPh>
    <rPh sb="2" eb="4">
      <t>ジョウケン</t>
    </rPh>
    <rPh sb="11" eb="13">
      <t>バアイ</t>
    </rPh>
    <rPh sb="15" eb="17">
      <t>ヒョウジ</t>
    </rPh>
    <rPh sb="17" eb="19">
      <t>タイショウ</t>
    </rPh>
    <rPh sb="21" eb="23">
      <t>ニュウリョク</t>
    </rPh>
    <rPh sb="23" eb="24">
      <t>ラン</t>
    </rPh>
    <rPh sb="25" eb="27">
      <t>ヒョウジ</t>
    </rPh>
    <rPh sb="29" eb="31">
      <t>サイダイ</t>
    </rPh>
    <rPh sb="31" eb="33">
      <t>ニュウリョク</t>
    </rPh>
    <rPh sb="33" eb="35">
      <t>カノウ</t>
    </rPh>
    <rPh sb="35" eb="38">
      <t>モジスウ</t>
    </rPh>
    <rPh sb="41" eb="43">
      <t>モジ</t>
    </rPh>
    <rPh sb="48" eb="50">
      <t>セイゲン</t>
    </rPh>
    <phoneticPr fontId="2"/>
  </si>
  <si>
    <t>表示されている情報を区分ごとにCSV形式でダウンロードしたい。</t>
    <rPh sb="0" eb="2">
      <t>ヒョウジ</t>
    </rPh>
    <rPh sb="7" eb="9">
      <t>ジョウホウ</t>
    </rPh>
    <rPh sb="10" eb="12">
      <t>クブン</t>
    </rPh>
    <rPh sb="18" eb="20">
      <t>ケイシキ</t>
    </rPh>
    <phoneticPr fontId="2"/>
  </si>
  <si>
    <t>「区分」プルダウンには「参加」「不参加」「未登録」を一覧し、デフォルトでは「参加」が選択されている状態にする。</t>
    <rPh sb="1" eb="3">
      <t>クブン</t>
    </rPh>
    <rPh sb="12" eb="14">
      <t>サンカ</t>
    </rPh>
    <rPh sb="16" eb="19">
      <t>フサンカ</t>
    </rPh>
    <rPh sb="21" eb="24">
      <t>ミトウロク</t>
    </rPh>
    <rPh sb="26" eb="28">
      <t>イチラン</t>
    </rPh>
    <rPh sb="38" eb="40">
      <t>サンカ</t>
    </rPh>
    <rPh sb="42" eb="44">
      <t>センタク</t>
    </rPh>
    <rPh sb="49" eb="51">
      <t>ジョウタイ</t>
    </rPh>
    <phoneticPr fontId="2"/>
  </si>
  <si>
    <t>SP030103</t>
    <phoneticPr fontId="2"/>
  </si>
  <si>
    <t>DN-030103-020.01 CSV設計書(全国大会申込状況確認).xls</t>
    <rPh sb="20" eb="23">
      <t>セッケイショ</t>
    </rPh>
    <rPh sb="24" eb="26">
      <t>ゼンコク</t>
    </rPh>
    <rPh sb="26" eb="28">
      <t>タイカイ</t>
    </rPh>
    <rPh sb="28" eb="32">
      <t>モウシコミジョウキョウ</t>
    </rPh>
    <rPh sb="32" eb="34">
      <t>カクニン</t>
    </rPh>
    <phoneticPr fontId="2"/>
  </si>
  <si>
    <t>SP030203</t>
    <phoneticPr fontId="2"/>
  </si>
  <si>
    <t>SP030112</t>
  </si>
  <si>
    <t>SP030113</t>
  </si>
  <si>
    <t>SP030114</t>
  </si>
  <si>
    <t>SP030115</t>
  </si>
  <si>
    <t>「参加」には全国大会へ参加で申込をしている現在契約中のオーナー数を表示する。</t>
    <rPh sb="1" eb="3">
      <t>サンカ</t>
    </rPh>
    <rPh sb="6" eb="8">
      <t>ゼンコク</t>
    </rPh>
    <rPh sb="8" eb="10">
      <t>タイカイ</t>
    </rPh>
    <rPh sb="11" eb="13">
      <t>サンカ</t>
    </rPh>
    <rPh sb="14" eb="16">
      <t>モウシコミ</t>
    </rPh>
    <rPh sb="21" eb="23">
      <t>ゲンザイ</t>
    </rPh>
    <rPh sb="23" eb="25">
      <t>ケイヤク</t>
    </rPh>
    <rPh sb="25" eb="26">
      <t>チュウ</t>
    </rPh>
    <rPh sb="31" eb="32">
      <t>スウ</t>
    </rPh>
    <rPh sb="33" eb="35">
      <t>ヒョウジ</t>
    </rPh>
    <phoneticPr fontId="2"/>
  </si>
  <si>
    <t>「不参加」には全国大会へ不参加で申込をしている現在契約中のオーナー数を表示する。</t>
    <rPh sb="1" eb="2">
      <t>フ</t>
    </rPh>
    <rPh sb="2" eb="4">
      <t>サンカ</t>
    </rPh>
    <rPh sb="7" eb="9">
      <t>ゼンコク</t>
    </rPh>
    <rPh sb="9" eb="11">
      <t>タイカイ</t>
    </rPh>
    <rPh sb="12" eb="13">
      <t>フ</t>
    </rPh>
    <rPh sb="13" eb="15">
      <t>サンカ</t>
    </rPh>
    <rPh sb="16" eb="18">
      <t>モウシコミ</t>
    </rPh>
    <rPh sb="23" eb="25">
      <t>ゲンザイ</t>
    </rPh>
    <rPh sb="25" eb="28">
      <t>ケイヤクチュウ</t>
    </rPh>
    <rPh sb="33" eb="34">
      <t>スウ</t>
    </rPh>
    <rPh sb="35" eb="37">
      <t>ヒョウジ</t>
    </rPh>
    <phoneticPr fontId="2"/>
  </si>
  <si>
    <t>結果画面には条件部として、①「対象条件」プルダウン、②「表示対象」プルダウン、③「実行」ボタンを表示する。</t>
    <rPh sb="0" eb="2">
      <t>ケッカ</t>
    </rPh>
    <rPh sb="2" eb="4">
      <t>ガメン</t>
    </rPh>
    <phoneticPr fontId="2"/>
  </si>
  <si>
    <t>現在契約中のオーナーは、以下で判断する。
オーナー契約日≦システム日付≦オーナー解約日</t>
    <rPh sb="0" eb="2">
      <t>ゲンザイ</t>
    </rPh>
    <rPh sb="2" eb="4">
      <t>ケイヤク</t>
    </rPh>
    <rPh sb="4" eb="5">
      <t>チュウ</t>
    </rPh>
    <rPh sb="12" eb="14">
      <t>イカ</t>
    </rPh>
    <rPh sb="15" eb="17">
      <t>ハンダン</t>
    </rPh>
    <rPh sb="25" eb="27">
      <t>ケイヤク</t>
    </rPh>
    <rPh sb="27" eb="28">
      <t>ビ</t>
    </rPh>
    <rPh sb="33" eb="35">
      <t>ヒヅケ</t>
    </rPh>
    <rPh sb="40" eb="43">
      <t>カイヤクビ</t>
    </rPh>
    <phoneticPr fontId="2"/>
  </si>
  <si>
    <t>「未登録オーナー」は、対象の全国大会に現在契約中のオーナーで登録されていないオーナー数を合計して表示します。</t>
    <rPh sb="1" eb="4">
      <t>ミトウロク</t>
    </rPh>
    <rPh sb="11" eb="13">
      <t>タイショウ</t>
    </rPh>
    <rPh sb="14" eb="16">
      <t>ゼンコク</t>
    </rPh>
    <rPh sb="16" eb="18">
      <t>タイカイ</t>
    </rPh>
    <rPh sb="19" eb="21">
      <t>ゲンザイ</t>
    </rPh>
    <rPh sb="23" eb="24">
      <t>チュウ</t>
    </rPh>
    <rPh sb="30" eb="32">
      <t>トウロク</t>
    </rPh>
    <rPh sb="42" eb="43">
      <t>スウ</t>
    </rPh>
    <rPh sb="44" eb="46">
      <t>ゴウケイ</t>
    </rPh>
    <rPh sb="48" eb="50">
      <t>ヒョウジ</t>
    </rPh>
    <phoneticPr fontId="2"/>
  </si>
  <si>
    <t xml:space="preserve">「ダウンロード」ボタン押下時、選択されている「区分」に該当するデータが存在しない場合は、「該当データが存在しません。」のようにメッセージを表示する。
</t>
    <rPh sb="11" eb="13">
      <t>オウカ</t>
    </rPh>
    <rPh sb="13" eb="14">
      <t>ジ</t>
    </rPh>
    <rPh sb="15" eb="17">
      <t>センタク</t>
    </rPh>
    <rPh sb="23" eb="25">
      <t>クブン</t>
    </rPh>
    <rPh sb="27" eb="29">
      <t>ガイトウ</t>
    </rPh>
    <rPh sb="35" eb="37">
      <t>ソンザイ</t>
    </rPh>
    <rPh sb="40" eb="42">
      <t>バアイ</t>
    </rPh>
    <rPh sb="69" eb="71">
      <t>ヒョウジ</t>
    </rPh>
    <phoneticPr fontId="2"/>
  </si>
  <si>
    <t>データ部の「参加」項目は、参加の場合「○」、不参加の場合「×」、未登録の場合、「－」を表示する。</t>
    <rPh sb="6" eb="8">
      <t>サンカ</t>
    </rPh>
    <rPh sb="9" eb="11">
      <t>コウモク</t>
    </rPh>
    <rPh sb="13" eb="15">
      <t>サンカ</t>
    </rPh>
    <rPh sb="16" eb="18">
      <t>バアイ</t>
    </rPh>
    <rPh sb="22" eb="25">
      <t>フサンカ</t>
    </rPh>
    <rPh sb="26" eb="28">
      <t>バアイ</t>
    </rPh>
    <rPh sb="32" eb="35">
      <t>ミトウロク</t>
    </rPh>
    <rPh sb="36" eb="38">
      <t>バアイ</t>
    </rPh>
    <rPh sb="43" eb="45">
      <t>ヒョウジ</t>
    </rPh>
    <phoneticPr fontId="2"/>
  </si>
  <si>
    <t>データ部の「参加人数」項目は、オーナー単位での参加の人数を表示する。（1人も参加しない場合は0）</t>
    <rPh sb="6" eb="8">
      <t>サンカ</t>
    </rPh>
    <rPh sb="8" eb="10">
      <t>ニンズウ</t>
    </rPh>
    <rPh sb="11" eb="13">
      <t>コウモク</t>
    </rPh>
    <rPh sb="19" eb="21">
      <t>タンイ</t>
    </rPh>
    <rPh sb="23" eb="25">
      <t>サンカ</t>
    </rPh>
    <rPh sb="26" eb="28">
      <t>ニンズウ</t>
    </rPh>
    <rPh sb="29" eb="31">
      <t>ヒョウジ</t>
    </rPh>
    <rPh sb="35" eb="37">
      <t>ヒトリ</t>
    </rPh>
    <rPh sb="38" eb="40">
      <t>サンカ</t>
    </rPh>
    <rPh sb="43" eb="45">
      <t>バアイ</t>
    </rPh>
    <phoneticPr fontId="2"/>
  </si>
  <si>
    <t>「参加オーナー」は、対象の全国大会に参加で申込んでいる現在契約中のオーナー数を合計して表示します。</t>
    <rPh sb="1" eb="3">
      <t>サンカ</t>
    </rPh>
    <rPh sb="10" eb="12">
      <t>タイショウ</t>
    </rPh>
    <rPh sb="13" eb="15">
      <t>ゼンコク</t>
    </rPh>
    <rPh sb="15" eb="17">
      <t>タイカイ</t>
    </rPh>
    <rPh sb="18" eb="20">
      <t>サンカ</t>
    </rPh>
    <rPh sb="21" eb="22">
      <t>サル</t>
    </rPh>
    <rPh sb="22" eb="23">
      <t>コ</t>
    </rPh>
    <rPh sb="27" eb="29">
      <t>ゲンザイ</t>
    </rPh>
    <rPh sb="29" eb="32">
      <t>ケイヤクチュウ</t>
    </rPh>
    <rPh sb="37" eb="38">
      <t>スウ</t>
    </rPh>
    <rPh sb="43" eb="45">
      <t>ヒョウジ</t>
    </rPh>
    <phoneticPr fontId="2"/>
  </si>
  <si>
    <t>「不参加オーナー」は、対象の全国大会に不参加で申込んでいる現在契約中のオーナー数を合計して表示します。</t>
    <rPh sb="1" eb="4">
      <t>フサンカ</t>
    </rPh>
    <rPh sb="11" eb="13">
      <t>タイショウ</t>
    </rPh>
    <rPh sb="14" eb="16">
      <t>ゼンコク</t>
    </rPh>
    <rPh sb="16" eb="18">
      <t>タイカイ</t>
    </rPh>
    <rPh sb="19" eb="20">
      <t>フ</t>
    </rPh>
    <rPh sb="20" eb="22">
      <t>サンカ</t>
    </rPh>
    <rPh sb="23" eb="24">
      <t>サル</t>
    </rPh>
    <rPh sb="24" eb="25">
      <t>コ</t>
    </rPh>
    <rPh sb="29" eb="31">
      <t>ゲンザイ</t>
    </rPh>
    <rPh sb="31" eb="34">
      <t>ケイヤクチュウ</t>
    </rPh>
    <rPh sb="39" eb="40">
      <t>スウ</t>
    </rPh>
    <rPh sb="45" eb="47">
      <t>ヒョウジ</t>
    </rPh>
    <phoneticPr fontId="2"/>
  </si>
  <si>
    <t>「参加人数」は、対象の全国大会に現在契約中のオーナーで参加で申込んでいる人数を合計して表示します。</t>
    <rPh sb="1" eb="3">
      <t>サンカ</t>
    </rPh>
    <rPh sb="3" eb="5">
      <t>ニンズウ</t>
    </rPh>
    <rPh sb="8" eb="10">
      <t>タイショウ</t>
    </rPh>
    <rPh sb="11" eb="13">
      <t>ゼンコク</t>
    </rPh>
    <rPh sb="13" eb="15">
      <t>タイカイ</t>
    </rPh>
    <rPh sb="27" eb="29">
      <t>サンカ</t>
    </rPh>
    <rPh sb="30" eb="32">
      <t>モウシコ</t>
    </rPh>
    <rPh sb="36" eb="38">
      <t>ニンズウ</t>
    </rPh>
    <rPh sb="39" eb="41">
      <t>ゴウケイ</t>
    </rPh>
    <rPh sb="43" eb="45">
      <t>ヒョウジ</t>
    </rPh>
    <phoneticPr fontId="2"/>
  </si>
  <si>
    <t>「対象条件」が「全オーナー」の場合、データ部に表示するのは、現在契約中のオーナーに属する店舗の支部、オーナーを表示する。ただし「その他（請求送付先）」オーナーは対象外とする。</t>
    <rPh sb="1" eb="3">
      <t>タイショウ</t>
    </rPh>
    <rPh sb="3" eb="5">
      <t>ジョウケン</t>
    </rPh>
    <rPh sb="8" eb="9">
      <t>ゼン</t>
    </rPh>
    <rPh sb="15" eb="17">
      <t>バアイ</t>
    </rPh>
    <rPh sb="30" eb="32">
      <t>ゲンザイ</t>
    </rPh>
    <rPh sb="32" eb="35">
      <t>ケイヤクチュウ</t>
    </rPh>
    <rPh sb="41" eb="42">
      <t>ゾク</t>
    </rPh>
    <rPh sb="44" eb="46">
      <t>テンポ</t>
    </rPh>
    <rPh sb="47" eb="49">
      <t>シブ</t>
    </rPh>
    <rPh sb="55" eb="57">
      <t>ヒョウジ</t>
    </rPh>
    <phoneticPr fontId="2"/>
  </si>
  <si>
    <t>「対象条件」が「支部」の場合、データ部に表示するのは、SP030110の条件に、選択された支部という条件を加えた結果を表示する。</t>
    <rPh sb="1" eb="3">
      <t>タイショウ</t>
    </rPh>
    <rPh sb="3" eb="5">
      <t>ジョウケン</t>
    </rPh>
    <rPh sb="8" eb="10">
      <t>シブ</t>
    </rPh>
    <rPh sb="12" eb="14">
      <t>バアイ</t>
    </rPh>
    <rPh sb="36" eb="38">
      <t>ジョウケン</t>
    </rPh>
    <rPh sb="40" eb="42">
      <t>センタク</t>
    </rPh>
    <rPh sb="45" eb="47">
      <t>シブ</t>
    </rPh>
    <rPh sb="50" eb="52">
      <t>ジョウケン</t>
    </rPh>
    <rPh sb="53" eb="54">
      <t>クワ</t>
    </rPh>
    <rPh sb="56" eb="58">
      <t>ケッカ</t>
    </rPh>
    <rPh sb="59" eb="61">
      <t>ヒョウジ</t>
    </rPh>
    <phoneticPr fontId="2"/>
  </si>
  <si>
    <t>イベント名称</t>
  </si>
  <si>
    <t>イベント名称</t>
    <phoneticPr fontId="2"/>
  </si>
  <si>
    <t>「対象条件」が「SVコード」で「実行」ボタン押下した場合は、「表示対象」に入力されたSVコードに前0を付加して検索を行う。</t>
    <rPh sb="1" eb="3">
      <t>タイショウ</t>
    </rPh>
    <rPh sb="3" eb="5">
      <t>ジョウケン</t>
    </rPh>
    <rPh sb="16" eb="18">
      <t>ジッコウ</t>
    </rPh>
    <rPh sb="22" eb="24">
      <t>オウカ</t>
    </rPh>
    <rPh sb="26" eb="28">
      <t>バアイ</t>
    </rPh>
    <rPh sb="31" eb="33">
      <t>ヒョウジ</t>
    </rPh>
    <rPh sb="33" eb="35">
      <t>タイショウ</t>
    </rPh>
    <rPh sb="37" eb="39">
      <t>ニュウリョク</t>
    </rPh>
    <rPh sb="48" eb="49">
      <t>マエ</t>
    </rPh>
    <rPh sb="51" eb="53">
      <t>フカ</t>
    </rPh>
    <rPh sb="55" eb="57">
      <t>ケンサク</t>
    </rPh>
    <rPh sb="58" eb="59">
      <t>オコナ</t>
    </rPh>
    <phoneticPr fontId="2"/>
  </si>
  <si>
    <t>この画面は、各種イベント申込状況確認画面より遷移してくる。</t>
    <rPh sb="2" eb="4">
      <t>ガメン</t>
    </rPh>
    <rPh sb="6" eb="8">
      <t>カクシュ</t>
    </rPh>
    <rPh sb="12" eb="14">
      <t>モウシコミ</t>
    </rPh>
    <rPh sb="14" eb="16">
      <t>ジョウキョウ</t>
    </rPh>
    <rPh sb="16" eb="18">
      <t>カクニン</t>
    </rPh>
    <rPh sb="18" eb="20">
      <t>ガメン</t>
    </rPh>
    <rPh sb="22" eb="24">
      <t>センイ</t>
    </rPh>
    <phoneticPr fontId="2"/>
  </si>
  <si>
    <t>SP010105</t>
  </si>
  <si>
    <t>SP010106</t>
  </si>
  <si>
    <t>SP010107</t>
  </si>
  <si>
    <t>ＦRQ0102</t>
    <phoneticPr fontId="2"/>
  </si>
  <si>
    <t>ＦRQ0103</t>
    <phoneticPr fontId="2"/>
  </si>
  <si>
    <t>SP010201</t>
    <phoneticPr fontId="2"/>
  </si>
  <si>
    <t>SP010202</t>
    <phoneticPr fontId="2"/>
  </si>
  <si>
    <t>SP010203</t>
  </si>
  <si>
    <t>SP010204</t>
  </si>
  <si>
    <t>SP010205</t>
  </si>
  <si>
    <t>SP010206</t>
  </si>
  <si>
    <t>対象条件が全オーナー以外の場合、表示対象を対象条件と実行ボタンの間に表示する。</t>
    <rPh sb="0" eb="2">
      <t>タイショウ</t>
    </rPh>
    <rPh sb="2" eb="4">
      <t>ジョウケン</t>
    </rPh>
    <rPh sb="5" eb="6">
      <t>ゼン</t>
    </rPh>
    <rPh sb="10" eb="12">
      <t>イガイ</t>
    </rPh>
    <rPh sb="13" eb="15">
      <t>バアイ</t>
    </rPh>
    <rPh sb="16" eb="18">
      <t>ヒョウジ</t>
    </rPh>
    <rPh sb="18" eb="20">
      <t>タイショウ</t>
    </rPh>
    <rPh sb="21" eb="23">
      <t>タイショウ</t>
    </rPh>
    <rPh sb="23" eb="25">
      <t>ジョウケン</t>
    </rPh>
    <rPh sb="26" eb="28">
      <t>ジッコウ</t>
    </rPh>
    <rPh sb="32" eb="33">
      <t>アイダ</t>
    </rPh>
    <rPh sb="34" eb="36">
      <t>ヒョウジ</t>
    </rPh>
    <phoneticPr fontId="2"/>
  </si>
  <si>
    <t>③「実行」ボタン押下時、「対象条件」が「SVコード」で、該当SVが存在しない場合は、「該当SVコードが存在しません。」のようにメッセージを表示し、現在の画面を再表示する。</t>
    <rPh sb="43" eb="45">
      <t>ガイトウ</t>
    </rPh>
    <phoneticPr fontId="2"/>
  </si>
  <si>
    <t>全国大会エントリー状況（BT48NATI)</t>
    <rPh sb="0" eb="2">
      <t>ゼンコク</t>
    </rPh>
    <rPh sb="2" eb="4">
      <t>タイカイ</t>
    </rPh>
    <rPh sb="9" eb="11">
      <t>ジョウキョウ</t>
    </rPh>
    <phoneticPr fontId="2"/>
  </si>
  <si>
    <t>エントリーセレクション管理（BR53ENTS)</t>
    <rPh sb="11" eb="13">
      <t>カンリ</t>
    </rPh>
    <phoneticPr fontId="2"/>
  </si>
  <si>
    <t>全国大会の申込状況を確認する。</t>
    <rPh sb="0" eb="2">
      <t>ゼンコク</t>
    </rPh>
    <rPh sb="2" eb="4">
      <t>タイカイ</t>
    </rPh>
    <rPh sb="5" eb="7">
      <t>モウシコミ</t>
    </rPh>
    <rPh sb="7" eb="9">
      <t>ジョウキョウ</t>
    </rPh>
    <rPh sb="10" eb="12">
      <t>カクニン</t>
    </rPh>
    <phoneticPr fontId="2"/>
  </si>
  <si>
    <t>オーナー別エントリー状況(BT20ENON)</t>
    <phoneticPr fontId="2"/>
  </si>
  <si>
    <t>【アクション】全国大会申込状況確認　初期画面.実行</t>
    <rPh sb="18" eb="20">
      <t>ショキ</t>
    </rPh>
    <rPh sb="20" eb="22">
      <t>ガメン</t>
    </rPh>
    <rPh sb="23" eb="25">
      <t>ジッコウ</t>
    </rPh>
    <phoneticPr fontId="2"/>
  </si>
  <si>
    <t>初期画面</t>
    <rPh sb="0" eb="2">
      <t>ショキ</t>
    </rPh>
    <rPh sb="2" eb="4">
      <t>ガメン</t>
    </rPh>
    <phoneticPr fontId="2"/>
  </si>
  <si>
    <t>jp.co.isid.mos.bird.entry.nationalviewlist</t>
    <phoneticPr fontId="2"/>
  </si>
  <si>
    <t>BEN016</t>
    <phoneticPr fontId="2"/>
  </si>
  <si>
    <t>照会画面</t>
    <rPh sb="0" eb="2">
      <t>ショウカイ</t>
    </rPh>
    <rPh sb="2" eb="4">
      <t>ガメン</t>
    </rPh>
    <phoneticPr fontId="2"/>
  </si>
  <si>
    <t>【アクション】全国大会申込状況確認　照会画面.再検索</t>
    <rPh sb="18" eb="20">
      <t>ショウカイ</t>
    </rPh>
    <rPh sb="20" eb="22">
      <t>ガメン</t>
    </rPh>
    <rPh sb="23" eb="24">
      <t>サイ</t>
    </rPh>
    <rPh sb="24" eb="26">
      <t>ケンサク</t>
    </rPh>
    <phoneticPr fontId="2"/>
  </si>
  <si>
    <t>再検索</t>
    <rPh sb="0" eb="1">
      <t>サイ</t>
    </rPh>
    <rPh sb="1" eb="3">
      <t>ケンサク</t>
    </rPh>
    <phoneticPr fontId="2"/>
  </si>
  <si>
    <t>戻る</t>
    <rPh sb="0" eb="1">
      <t>モド</t>
    </rPh>
    <phoneticPr fontId="2"/>
  </si>
  <si>
    <t>【アクション】全国大会申込状況確認　初期画面.戻る</t>
    <rPh sb="18" eb="20">
      <t>ショキ</t>
    </rPh>
    <rPh sb="20" eb="22">
      <t>ガメン</t>
    </rPh>
    <rPh sb="23" eb="24">
      <t>モド</t>
    </rPh>
    <phoneticPr fontId="2"/>
  </si>
  <si>
    <t>○</t>
    <phoneticPr fontId="2"/>
  </si>
  <si>
    <t>テキスト</t>
    <phoneticPr fontId="2"/>
  </si>
  <si>
    <t>半角文字列</t>
    <rPh sb="0" eb="2">
      <t>ハンカク</t>
    </rPh>
    <rPh sb="2" eb="5">
      <t>モジレツ</t>
    </rPh>
    <phoneticPr fontId="2"/>
  </si>
  <si>
    <t>SV検索</t>
    <rPh sb="2" eb="4">
      <t>ケンサク</t>
    </rPh>
    <phoneticPr fontId="2"/>
  </si>
  <si>
    <t>【アクション】全国大会申込状況確認　照会画面.SV検索</t>
    <rPh sb="18" eb="20">
      <t>ショウカイ</t>
    </rPh>
    <rPh sb="20" eb="22">
      <t>ガメン</t>
    </rPh>
    <rPh sb="25" eb="27">
      <t>ケンサク</t>
    </rPh>
    <phoneticPr fontId="2"/>
  </si>
  <si>
    <t>【アクション】全国大会申込状況確認　照会画面.戻る</t>
    <rPh sb="18" eb="20">
      <t>ショウカイ</t>
    </rPh>
    <rPh sb="20" eb="22">
      <t>ガメン</t>
    </rPh>
    <rPh sb="23" eb="24">
      <t>モド</t>
    </rPh>
    <phoneticPr fontId="2"/>
  </si>
  <si>
    <t>条件項目エリア</t>
    <rPh sb="0" eb="2">
      <t>ジョウケン</t>
    </rPh>
    <rPh sb="2" eb="4">
      <t>コウモク</t>
    </rPh>
    <phoneticPr fontId="2"/>
  </si>
  <si>
    <t>対象エントリー情報エリア</t>
    <rPh sb="0" eb="2">
      <t>タイショウ</t>
    </rPh>
    <rPh sb="7" eb="9">
      <t>ジョウホウ</t>
    </rPh>
    <phoneticPr fontId="2"/>
  </si>
  <si>
    <t>イベント名称</t>
    <rPh sb="4" eb="6">
      <t>メイショウ</t>
    </rPh>
    <phoneticPr fontId="2"/>
  </si>
  <si>
    <t>検索結果エリア</t>
    <rPh sb="0" eb="2">
      <t>ケンサク</t>
    </rPh>
    <rPh sb="2" eb="4">
      <t>ケッカ</t>
    </rPh>
    <phoneticPr fontId="2"/>
  </si>
  <si>
    <t>対象エントリー全オーナー参加・不参加件数エリア</t>
    <rPh sb="0" eb="2">
      <t>タイショウ</t>
    </rPh>
    <rPh sb="7" eb="8">
      <t>ゼン</t>
    </rPh>
    <rPh sb="12" eb="14">
      <t>サンカ</t>
    </rPh>
    <rPh sb="15" eb="18">
      <t>フサンカ</t>
    </rPh>
    <rPh sb="18" eb="20">
      <t>ケンスウ</t>
    </rPh>
    <phoneticPr fontId="2"/>
  </si>
  <si>
    <t>SVコード</t>
    <phoneticPr fontId="2"/>
  </si>
  <si>
    <t>対象条件が『SVコード』の場合のみ表示されます。</t>
    <rPh sb="0" eb="2">
      <t>タイショウ</t>
    </rPh>
    <rPh sb="2" eb="4">
      <t>ジョウケン</t>
    </rPh>
    <rPh sb="13" eb="15">
      <t>バアイ</t>
    </rPh>
    <phoneticPr fontId="2"/>
  </si>
  <si>
    <t>対象条件が『支部』の場合のみ表示されます。</t>
    <rPh sb="0" eb="2">
      <t>タイショウ</t>
    </rPh>
    <rPh sb="2" eb="4">
      <t>ジョウケン</t>
    </rPh>
    <rPh sb="6" eb="8">
      <t>シブ</t>
    </rPh>
    <rPh sb="10" eb="12">
      <t>バアイ</t>
    </rPh>
    <rPh sb="14" eb="16">
      <t>ヒョウジ</t>
    </rPh>
    <phoneticPr fontId="2"/>
  </si>
  <si>
    <t>リストの１番目の支部</t>
    <rPh sb="5" eb="7">
      <t>バンメ</t>
    </rPh>
    <rPh sb="8" eb="10">
      <t>シブ</t>
    </rPh>
    <phoneticPr fontId="2"/>
  </si>
  <si>
    <t>○：参加オーナー、×：不参加オーナー、空：未登録</t>
    <rPh sb="2" eb="4">
      <t>サンカ</t>
    </rPh>
    <rPh sb="11" eb="14">
      <t>フサンカ</t>
    </rPh>
    <rPh sb="19" eb="20">
      <t>カラ</t>
    </rPh>
    <rPh sb="21" eb="24">
      <t>ミトウロク</t>
    </rPh>
    <phoneticPr fontId="2"/>
  </si>
  <si>
    <t>参加・不参加・未登録</t>
    <rPh sb="0" eb="2">
      <t>サンカ</t>
    </rPh>
    <rPh sb="3" eb="6">
      <t>フサンカ</t>
    </rPh>
    <rPh sb="7" eb="10">
      <t>ミトウロク</t>
    </rPh>
    <phoneticPr fontId="2"/>
  </si>
  <si>
    <t>SV選択画面</t>
    <rPh sb="2" eb="4">
      <t>センタク</t>
    </rPh>
    <rPh sb="4" eb="6">
      <t>ガメン</t>
    </rPh>
    <phoneticPr fontId="2"/>
  </si>
  <si>
    <t>２．DTO【SV選択】.初期フラグをtrueに設定する。</t>
    <rPh sb="8" eb="10">
      <t>センタク</t>
    </rPh>
    <rPh sb="12" eb="14">
      <t>ショキ</t>
    </rPh>
    <rPh sb="23" eb="25">
      <t>セッテイ</t>
    </rPh>
    <phoneticPr fontId="2"/>
  </si>
  <si>
    <t>・SV選択画面へ遷移すること。</t>
    <rPh sb="8" eb="10">
      <t>センイ</t>
    </rPh>
    <phoneticPr fontId="2"/>
  </si>
  <si>
    <t xml:space="preserve"> 複数WindowID設定</t>
    <phoneticPr fontId="2"/>
  </si>
  <si>
    <t>１－１．</t>
    <phoneticPr fontId="2"/>
  </si>
  <si>
    <t>１－２．</t>
  </si>
  <si>
    <t>１－３．</t>
  </si>
  <si>
    <t>１－４．</t>
  </si>
  <si>
    <t>１－５．</t>
  </si>
  <si>
    <t>１－６．</t>
  </si>
  <si>
    <t>１－７．</t>
  </si>
  <si>
    <t>DTOの中身を初期化する。</t>
    <phoneticPr fontId="2"/>
  </si>
  <si>
    <t>共通画面から値を取得</t>
    <phoneticPr fontId="2"/>
  </si>
  <si>
    <t>フレームワークより値を取得</t>
    <phoneticPr fontId="2"/>
  </si>
  <si>
    <t>ロジック【条件項目の取得】を実行する。</t>
    <phoneticPr fontId="2"/>
  </si>
  <si>
    <t>１－８．</t>
  </si>
  <si>
    <t>処理１－５の戻り値から、[[対象エントリー情報]]を取得する。</t>
    <phoneticPr fontId="2"/>
  </si>
  <si>
    <t>１－９．</t>
  </si>
  <si>
    <t>１－１０．</t>
  </si>
  <si>
    <t>１－１１．</t>
  </si>
  <si>
    <t>１－１２．</t>
  </si>
  <si>
    <t>２．SV選択画面から遷移してきた場合。</t>
  </si>
  <si>
    <t>２－１．</t>
  </si>
  <si>
    <t>２－２．</t>
  </si>
  <si>
    <t>２－３．</t>
  </si>
  <si>
    <t>２－４．</t>
  </si>
  <si>
    <t>【DTO】ウィンドウIDにDTO【SV選択】.ウィンドウIDを設定する。</t>
  </si>
  <si>
    <t>DTO【SV選択】.遷移区分を初期値に戻す。</t>
  </si>
  <si>
    <t>DTO【SV選択】.クリア処理を実行する。</t>
  </si>
  <si>
    <t>３．共通　各種イベント申込確認画面VIEWIDをリターンする。</t>
    <rPh sb="2" eb="4">
      <t>キョウツウ</t>
    </rPh>
    <rPh sb="5" eb="7">
      <t>カクシュ</t>
    </rPh>
    <rPh sb="11" eb="13">
      <t>モウシコミ</t>
    </rPh>
    <rPh sb="13" eb="15">
      <t>カクニン</t>
    </rPh>
    <rPh sb="15" eb="16">
      <t>ガ</t>
    </rPh>
    <rPh sb="16" eb="17">
      <t>メン</t>
    </rPh>
    <phoneticPr fontId="2"/>
  </si>
  <si>
    <t>・共通　各種イベント申込確認画面へ遷移すること。</t>
    <rPh sb="17" eb="19">
      <t>センイ</t>
    </rPh>
    <phoneticPr fontId="2"/>
  </si>
  <si>
    <t>共通　各種イベント申込確認画面</t>
  </si>
  <si>
    <t>１．SV選択画面から遷移してきた場合。</t>
    <phoneticPr fontId="2"/>
  </si>
  <si>
    <t>１－３．</t>
    <phoneticPr fontId="2"/>
  </si>
  <si>
    <t>SVを選択後遷移してきた場合、以下の処理を行う。</t>
    <rPh sb="15" eb="17">
      <t>イカ</t>
    </rPh>
    <rPh sb="18" eb="20">
      <t>ショリ</t>
    </rPh>
    <rPh sb="21" eb="22">
      <t>オコナ</t>
    </rPh>
    <phoneticPr fontId="2"/>
  </si>
  <si>
    <t>結果戻り値から[[出欠件数情報]]を取得する。</t>
    <rPh sb="11" eb="13">
      <t>ケンスウ</t>
    </rPh>
    <phoneticPr fontId="2"/>
  </si>
  <si>
    <t>Ⅰ．前回検索結果データをクリアするため、【DTO】検索結果クリア処理を実行する</t>
  </si>
  <si>
    <t>Ⅱ．区分プルダウンをデフォルトとして『全て』に設定する。</t>
  </si>
  <si>
    <t>Ⅲ．Exception　MSG【E0102】を発生させる。</t>
  </si>
  <si>
    <t>Ⅰ．前回検索結果データをクリアするため、【DTO】検索結果クリア処理を実行する。</t>
  </si>
  <si>
    <t>・照会画面へ遷移すること。</t>
    <rPh sb="6" eb="8">
      <t>センイ</t>
    </rPh>
    <phoneticPr fontId="2"/>
  </si>
  <si>
    <t>１．DTO【SV選択】.遷移元情報へ照会画面VIEWIDを設定する。</t>
    <rPh sb="12" eb="14">
      <t>センイ</t>
    </rPh>
    <rPh sb="14" eb="15">
      <t>モト</t>
    </rPh>
    <rPh sb="15" eb="17">
      <t>ジョウホウ</t>
    </rPh>
    <rPh sb="18" eb="20">
      <t>ショウカイ</t>
    </rPh>
    <rPh sb="20" eb="22">
      <t>ガメン</t>
    </rPh>
    <rPh sb="29" eb="31">
      <t>セッテイ</t>
    </rPh>
    <phoneticPr fontId="2"/>
  </si>
  <si>
    <t>１．DTO【SV選択】.遷移元情報へ初期画面VIEWIDを設定する。</t>
    <rPh sb="12" eb="14">
      <t>センイ</t>
    </rPh>
    <rPh sb="14" eb="15">
      <t>モト</t>
    </rPh>
    <rPh sb="15" eb="17">
      <t>ジョウホウ</t>
    </rPh>
    <rPh sb="18" eb="20">
      <t>ショキ</t>
    </rPh>
    <rPh sb="20" eb="22">
      <t>ガメン</t>
    </rPh>
    <rPh sb="29" eb="31">
      <t>セッテイ</t>
    </rPh>
    <phoneticPr fontId="2"/>
  </si>
  <si>
    <t>パラメーター</t>
    <phoneticPr fontId="2"/>
  </si>
  <si>
    <t>システム日付</t>
    <rPh sb="4" eb="6">
      <t>ヒヅケ</t>
    </rPh>
    <phoneticPr fontId="2"/>
  </si>
  <si>
    <t>※2006/12/25</t>
    <phoneticPr fontId="2"/>
  </si>
  <si>
    <t>レビュー後、文字揃えを</t>
    <rPh sb="4" eb="5">
      <t>ゴ</t>
    </rPh>
    <rPh sb="6" eb="8">
      <t>モジ</t>
    </rPh>
    <rPh sb="8" eb="9">
      <t>ソロ</t>
    </rPh>
    <phoneticPr fontId="2"/>
  </si>
  <si>
    <t>BIRD標準にあわせる</t>
    <rPh sb="4" eb="6">
      <t>ヒョウジュン</t>
    </rPh>
    <phoneticPr fontId="2"/>
  </si>
  <si>
    <t>レビュー後、</t>
    <rPh sb="4" eb="5">
      <t>ゴ</t>
    </rPh>
    <phoneticPr fontId="2"/>
  </si>
  <si>
    <t>「イベント名称」に変更</t>
    <rPh sb="5" eb="7">
      <t>メイショウ</t>
    </rPh>
    <rPh sb="9" eb="11">
      <t>ヘンコウ</t>
    </rPh>
    <phoneticPr fontId="2"/>
  </si>
  <si>
    <t>３．現ウィンドウIDの保管データから【DTO】検索対象条件項目へ値の設定を行う。</t>
    <rPh sb="2" eb="3">
      <t>ゲン</t>
    </rPh>
    <rPh sb="11" eb="13">
      <t>ホカン</t>
    </rPh>
    <rPh sb="23" eb="25">
      <t>ケンサク</t>
    </rPh>
    <rPh sb="25" eb="27">
      <t>タイショウ</t>
    </rPh>
    <rPh sb="27" eb="29">
      <t>ジョウケン</t>
    </rPh>
    <rPh sb="29" eb="31">
      <t>コウモク</t>
    </rPh>
    <rPh sb="32" eb="33">
      <t>アタイ</t>
    </rPh>
    <rPh sb="34" eb="36">
      <t>セッテイ</t>
    </rPh>
    <rPh sb="37" eb="38">
      <t>オコナ</t>
    </rPh>
    <phoneticPr fontId="2"/>
  </si>
  <si>
    <t>４．Nullをリターンする。</t>
    <phoneticPr fontId="2"/>
  </si>
  <si>
    <t>１．共通DTO【各種イベント申込状況確認】初期フラグが'1'の場合、下記の処理を行う。</t>
    <phoneticPr fontId="2"/>
  </si>
  <si>
    <t>共通DTO【各種イベント申込状況確認】.初期起動フラグを初期値に設定する。</t>
    <phoneticPr fontId="2"/>
  </si>
  <si>
    <t>２．共通DTO【各種イベント申込状況確認】.リターンタイプに’戻る’の値を設定する。</t>
    <rPh sb="31" eb="32">
      <t>モド</t>
    </rPh>
    <rPh sb="35" eb="36">
      <t>アタイ</t>
    </rPh>
    <rPh sb="37" eb="39">
      <t>セッテイ</t>
    </rPh>
    <phoneticPr fontId="2"/>
  </si>
  <si>
    <t>６．SV選択画面VIEWIDをリターンする。</t>
    <rPh sb="4" eb="6">
      <t>センタク</t>
    </rPh>
    <rPh sb="6" eb="8">
      <t>ガメン</t>
    </rPh>
    <phoneticPr fontId="2"/>
  </si>
  <si>
    <t>５．現ウィンドウIDの検索対象条件項目値の保管を行う。</t>
    <rPh sb="2" eb="3">
      <t>ゲン</t>
    </rPh>
    <rPh sb="11" eb="13">
      <t>ケンサク</t>
    </rPh>
    <rPh sb="13" eb="15">
      <t>タイショウ</t>
    </rPh>
    <rPh sb="15" eb="17">
      <t>ジョウケン</t>
    </rPh>
    <rPh sb="17" eb="19">
      <t>コウモク</t>
    </rPh>
    <rPh sb="19" eb="20">
      <t>チ</t>
    </rPh>
    <rPh sb="21" eb="23">
      <t>ホカン</t>
    </rPh>
    <rPh sb="24" eb="25">
      <t>オコナ</t>
    </rPh>
    <phoneticPr fontId="2"/>
  </si>
  <si>
    <t>２．事前条件処理を行う。</t>
    <phoneticPr fontId="2"/>
  </si>
  <si>
    <t>１．現ウィンドウIDの検索対象条件項目値の保管を行う。</t>
    <rPh sb="2" eb="3">
      <t>ゲン</t>
    </rPh>
    <rPh sb="11" eb="13">
      <t>ケンサク</t>
    </rPh>
    <rPh sb="13" eb="15">
      <t>タイショウ</t>
    </rPh>
    <rPh sb="15" eb="17">
      <t>ジョウケン</t>
    </rPh>
    <rPh sb="17" eb="19">
      <t>コウモク</t>
    </rPh>
    <rPh sb="19" eb="20">
      <t>チ</t>
    </rPh>
    <rPh sb="21" eb="23">
      <t>ホカン</t>
    </rPh>
    <rPh sb="24" eb="25">
      <t>オコナ</t>
    </rPh>
    <phoneticPr fontId="2"/>
  </si>
  <si>
    <t>３．ロジック【検索対象情報取得】を実行し、[[出欠件数情報]]と[[申込状況一覧]]を取得する。</t>
    <rPh sb="25" eb="27">
      <t>ケンスウ</t>
    </rPh>
    <rPh sb="34" eb="36">
      <t>モウシコミ</t>
    </rPh>
    <rPh sb="36" eb="38">
      <t>ジョウキョウ</t>
    </rPh>
    <rPh sb="38" eb="40">
      <t>イチラン</t>
    </rPh>
    <phoneticPr fontId="2"/>
  </si>
  <si>
    <t>３－１．</t>
  </si>
  <si>
    <t>３－２．</t>
  </si>
  <si>
    <t>３－３．</t>
  </si>
  <si>
    <t>３－４．</t>
  </si>
  <si>
    <t>３－５．</t>
  </si>
  <si>
    <t>３－６．</t>
  </si>
  <si>
    <t>３－７．</t>
  </si>
  <si>
    <t>処理３－１の[[出欠件数情報]]の取得結果がない場合は下記の処理を行う。</t>
    <rPh sb="0" eb="2">
      <t>ショリ</t>
    </rPh>
    <rPh sb="10" eb="12">
      <t>ケンスウ</t>
    </rPh>
    <phoneticPr fontId="2"/>
  </si>
  <si>
    <t>処理３－１[[出欠件数情報]]結果の一番目[出欠席情報]を取得する。</t>
    <rPh sb="9" eb="11">
      <t>ケンスウ</t>
    </rPh>
    <phoneticPr fontId="2"/>
  </si>
  <si>
    <t>処理３－５の[[申込状況一覧]]の取得結果がない場合は下記の処理を行う。</t>
    <rPh sb="0" eb="2">
      <t>ショリ</t>
    </rPh>
    <phoneticPr fontId="2"/>
  </si>
  <si>
    <t>処理３.結果戻り値から[[申込状況一覧]]を取得する。</t>
    <phoneticPr fontId="2"/>
  </si>
  <si>
    <t>５．照会画面VIEWIDをリターンする。</t>
    <rPh sb="2" eb="4">
      <t>ショウカイ</t>
    </rPh>
    <phoneticPr fontId="2"/>
  </si>
  <si>
    <t>４．区分プルダウンをデフォルトとして『参加』に設定する。</t>
    <rPh sb="19" eb="21">
      <t>サンカ</t>
    </rPh>
    <phoneticPr fontId="2"/>
  </si>
  <si>
    <t>入力されたSVコードの入力値が妥当性があること。</t>
  </si>
  <si>
    <t>入力されたSVコードはSVマスタに存在するものである。</t>
  </si>
  <si>
    <t>SVコードが入力されていること。</t>
  </si>
  <si>
    <t>・対象条件が『SVコード』の場合、下記の条件が全て満たされていること。</t>
    <rPh sb="1" eb="3">
      <t>タイショウ</t>
    </rPh>
    <rPh sb="3" eb="5">
      <t>ジョウケン</t>
    </rPh>
    <rPh sb="14" eb="16">
      <t>バアイ</t>
    </rPh>
    <rPh sb="17" eb="19">
      <t>カキ</t>
    </rPh>
    <rPh sb="20" eb="22">
      <t>ジョウケン</t>
    </rPh>
    <rPh sb="23" eb="24">
      <t>スベ</t>
    </rPh>
    <rPh sb="25" eb="26">
      <t>ミ</t>
    </rPh>
    <phoneticPr fontId="2"/>
  </si>
  <si>
    <t>①</t>
    <phoneticPr fontId="2"/>
  </si>
  <si>
    <t>②</t>
    <phoneticPr fontId="2"/>
  </si>
  <si>
    <t>③</t>
    <phoneticPr fontId="2"/>
  </si>
  <si>
    <t>処理１－５の戻り値から、[[会社リスト]]を取得し、DTO【申込状況確認】.会社リストへ設定する。</t>
    <rPh sb="38" eb="40">
      <t>カイシャ</t>
    </rPh>
    <phoneticPr fontId="2"/>
  </si>
  <si>
    <t>処理１－５の戻り値から、[[支部リスト]]を取得し、DTO【申込状況確認】.支部リストへ設定する。</t>
    <rPh sb="14" eb="16">
      <t>シブ</t>
    </rPh>
    <rPh sb="38" eb="40">
      <t>シブ</t>
    </rPh>
    <phoneticPr fontId="2"/>
  </si>
  <si>
    <t>処理１－８の結果の１行目の値のをDTO【申込状況確認】.対象エントリー情報エンティティーへ設定する。</t>
    <rPh sb="10" eb="12">
      <t>ギョウメ</t>
    </rPh>
    <rPh sb="28" eb="30">
      <t>タイショウ</t>
    </rPh>
    <phoneticPr fontId="2"/>
  </si>
  <si>
    <t>対象条件プルダウン用リストを生成し、DTO【申込状況確認】.対象条件リストへ設定する。</t>
    <rPh sb="9" eb="10">
      <t>ヨウ</t>
    </rPh>
    <rPh sb="14" eb="16">
      <t>セイセイ</t>
    </rPh>
    <phoneticPr fontId="2"/>
  </si>
  <si>
    <t>区分プルダウン用リストを生成し、DTO【申込状況確認】.区分リストへ設定する。</t>
    <rPh sb="0" eb="2">
      <t>クブン</t>
    </rPh>
    <rPh sb="7" eb="8">
      <t>ヨウ</t>
    </rPh>
    <rPh sb="12" eb="14">
      <t>セイセイ</t>
    </rPh>
    <rPh sb="28" eb="30">
      <t>クブン</t>
    </rPh>
    <phoneticPr fontId="2"/>
  </si>
  <si>
    <t>DTO【申込状況確認】.SVコードへ、DTO【SV選択】.SVコードを設定する。</t>
  </si>
  <si>
    <t>１．DTO【申込状況確認】.クリア処理を行う。</t>
    <rPh sb="17" eb="19">
      <t>ショリ</t>
    </rPh>
    <rPh sb="20" eb="21">
      <t>オコナ</t>
    </rPh>
    <phoneticPr fontId="2"/>
  </si>
  <si>
    <t>３．DTO【SV選択】.ウィンドウIDへDTO【申込状況確認】.ウィンドウIDを設定する。</t>
    <rPh sb="40" eb="42">
      <t>セッテイ</t>
    </rPh>
    <phoneticPr fontId="2"/>
  </si>
  <si>
    <t>４．DTO【SV選択】.会社リストへDTO【申込状況確認】.会社リストを設定する。</t>
    <rPh sb="12" eb="14">
      <t>カイシャ</t>
    </rPh>
    <rPh sb="30" eb="32">
      <t>カイシャ</t>
    </rPh>
    <rPh sb="36" eb="38">
      <t>セッテイ</t>
    </rPh>
    <phoneticPr fontId="2"/>
  </si>
  <si>
    <t>DTO【申込状況確認】.対象エントリー情報エンティティー</t>
  </si>
  <si>
    <t>DTO【申込状況確認】.対象条件</t>
    <rPh sb="12" eb="14">
      <t>タイショウ</t>
    </rPh>
    <rPh sb="14" eb="16">
      <t>ジョウケン</t>
    </rPh>
    <phoneticPr fontId="2"/>
  </si>
  <si>
    <t>DTO【申込状況確認】.支部コード</t>
    <rPh sb="12" eb="14">
      <t>シブ</t>
    </rPh>
    <phoneticPr fontId="2"/>
  </si>
  <si>
    <t>DTO【申込状況確認】.SVコード</t>
  </si>
  <si>
    <t>DTO【申込状況確認】.出欠件数情報エンティティーへ処理３－３[出欠件数情報]を設定する。</t>
    <rPh sb="12" eb="14">
      <t>シュッケツ</t>
    </rPh>
    <rPh sb="14" eb="16">
      <t>ケンスウ</t>
    </rPh>
    <rPh sb="16" eb="18">
      <t>ジョウホウ</t>
    </rPh>
    <rPh sb="34" eb="36">
      <t>ケンスウ</t>
    </rPh>
    <rPh sb="40" eb="42">
      <t>セッテイ</t>
    </rPh>
    <phoneticPr fontId="2"/>
  </si>
  <si>
    <t>DTO【申込状況確認】.申込状況一覧へ処理３－５の[[申込状況一覧]]を設定する。</t>
    <rPh sb="12" eb="18">
      <t>モウシコミジョウキョウイチラン</t>
    </rPh>
    <rPh sb="36" eb="38">
      <t>セッテイ</t>
    </rPh>
    <phoneticPr fontId="2"/>
  </si>
  <si>
    <t>ダウンロード処理</t>
    <rPh sb="6" eb="8">
      <t>ショリ</t>
    </rPh>
    <phoneticPr fontId="2"/>
  </si>
  <si>
    <t>遷移無し</t>
    <rPh sb="0" eb="2">
      <t>センイ</t>
    </rPh>
    <rPh sb="2" eb="3">
      <t>ナ</t>
    </rPh>
    <phoneticPr fontId="2"/>
  </si>
  <si>
    <t>BIRDユーザー情報</t>
    <rPh sb="8" eb="10">
      <t>ジョウホウ</t>
    </rPh>
    <phoneticPr fontId="2"/>
  </si>
  <si>
    <t>共通DTO【各種イベント申込状況確認】.エントリーコード</t>
    <phoneticPr fontId="2"/>
  </si>
  <si>
    <t>共通DTO【各種イベント申込状況確認】.エントリー年</t>
    <rPh sb="25" eb="26">
      <t>ネン</t>
    </rPh>
    <phoneticPr fontId="2"/>
  </si>
  <si>
    <t>共通DTO【各種イベント申込状況確認】.エントリー回</t>
    <rPh sb="25" eb="26">
      <t>カイ</t>
    </rPh>
    <phoneticPr fontId="2"/>
  </si>
  <si>
    <t>条件
アクション</t>
    <rPh sb="0" eb="2">
      <t>ジョウケン</t>
    </rPh>
    <phoneticPr fontId="2"/>
  </si>
  <si>
    <t>照会
アクション</t>
    <rPh sb="0" eb="2">
      <t>ショウカイ</t>
    </rPh>
    <phoneticPr fontId="2"/>
  </si>
  <si>
    <t>条件項目情報取得
ロジック</t>
    <phoneticPr fontId="2"/>
  </si>
  <si>
    <t>SVコード存在チェック
ロジック</t>
    <phoneticPr fontId="2"/>
  </si>
  <si>
    <t>検索対象情報取得
ロジック</t>
    <phoneticPr fontId="2"/>
  </si>
  <si>
    <t>検索CSV対象出力情報取得
ロジック</t>
    <rPh sb="5" eb="7">
      <t>タイショウ</t>
    </rPh>
    <rPh sb="11" eb="13">
      <t>シュトク</t>
    </rPh>
    <phoneticPr fontId="2"/>
  </si>
  <si>
    <t>対象エントリー情報
DAO</t>
    <phoneticPr fontId="2"/>
  </si>
  <si>
    <t>支部リスト
DAO</t>
    <phoneticPr fontId="2"/>
  </si>
  <si>
    <t>対象支部データ</t>
    <rPh sb="0" eb="2">
      <t>タイショウ</t>
    </rPh>
    <rPh sb="2" eb="4">
      <t>シブ</t>
    </rPh>
    <phoneticPr fontId="2"/>
  </si>
  <si>
    <t>SVリスト
DAO</t>
    <phoneticPr fontId="2"/>
  </si>
  <si>
    <t>対象SVデータ</t>
    <rPh sb="0" eb="2">
      <t>タイショウ</t>
    </rPh>
    <phoneticPr fontId="2"/>
  </si>
  <si>
    <t>出欠件数情報
DAO</t>
    <phoneticPr fontId="2"/>
  </si>
  <si>
    <t>申込状況一覧
DAO</t>
    <phoneticPr fontId="2"/>
  </si>
  <si>
    <t>CSV申込状況一覧
DAO</t>
    <phoneticPr fontId="2"/>
  </si>
  <si>
    <t>画面用検索結果データ</t>
    <rPh sb="0" eb="3">
      <t>ガメンヨウ</t>
    </rPh>
    <rPh sb="3" eb="5">
      <t>ケンサク</t>
    </rPh>
    <rPh sb="5" eb="7">
      <t>ケッカ</t>
    </rPh>
    <phoneticPr fontId="2"/>
  </si>
  <si>
    <t>CSV用検索結果データ</t>
    <rPh sb="3" eb="4">
      <t>ヨウ</t>
    </rPh>
    <rPh sb="4" eb="6">
      <t>ケンサク</t>
    </rPh>
    <rPh sb="6" eb="8">
      <t>ケッカ</t>
    </rPh>
    <phoneticPr fontId="2"/>
  </si>
  <si>
    <t>対象エントリーデータ</t>
    <rPh sb="0" eb="2">
      <t>タイショウ</t>
    </rPh>
    <phoneticPr fontId="2"/>
  </si>
  <si>
    <t>条件画面
ビュー</t>
    <rPh sb="0" eb="2">
      <t>ジョウケン</t>
    </rPh>
    <rPh sb="2" eb="4">
      <t>ガメン</t>
    </rPh>
    <phoneticPr fontId="2"/>
  </si>
  <si>
    <t>照会画面
ビュー</t>
    <rPh sb="0" eb="2">
      <t>ショウカイ</t>
    </rPh>
    <rPh sb="2" eb="4">
      <t>ガメン</t>
    </rPh>
    <phoneticPr fontId="2"/>
  </si>
  <si>
    <t>【アクション】CSVダウンロード　ダウンロード</t>
    <phoneticPr fontId="2"/>
  </si>
  <si>
    <t>アクション【CSV出力クラス】.ダウンロード</t>
    <rPh sb="9" eb="11">
      <t>シュツリョク</t>
    </rPh>
    <phoneticPr fontId="2"/>
  </si>
  <si>
    <t xml:space="preserve">  1．DTO【Session用】.選択対象条件へ処理１のウィンドウIDをKeyに、</t>
  </si>
  <si>
    <t xml:space="preserve">     DTO【Request用】.リクエスト対象条件を設定する。</t>
  </si>
  <si>
    <t xml:space="preserve">  2．処理２のDTO【Request用】.対象条件の値により下記の各処理を行う。</t>
  </si>
  <si>
    <t xml:space="preserve">    (a).DTO【Request用】.対象条件が『オーナー全て』の場合。</t>
  </si>
  <si>
    <t xml:space="preserve">        DTO【Session用】.選択支部コードへ処理１のウィンドウIDをKeyに、空『""』を設定する。</t>
  </si>
  <si>
    <t xml:space="preserve">        DTO【Session用】.選択SVコードへ処理１のウィンドウIDをKeyに、空『""』を設定する。</t>
  </si>
  <si>
    <t xml:space="preserve">    (b).DTO【Request用】.対象条件が『支部』の場合。</t>
  </si>
  <si>
    <t xml:space="preserve">    (c).DTO【Request用】.対象条件が『ＳＶコード』の場合。</t>
  </si>
  <si>
    <t xml:space="preserve">        DTO【Session用】.選択ＳＶコードへ処理１のウィンドウIDをKeyに、DTO【Request用】.リクエストＳＶコードを設定する。</t>
  </si>
  <si>
    <t xml:space="preserve">  2．DTO【Request用】.ユーザーＩＤへDTO【Session用】.ユーザーＩＤを設定する。</t>
  </si>
  <si>
    <t xml:space="preserve">  3．DTO【Request用】.支部制限フラグへDTO【Session用】.支部制限フラグを設定する。</t>
  </si>
  <si>
    <t xml:space="preserve">  4．DTO【Request用】.システム日付へDTO【Session用】.システム日付を設定する。</t>
  </si>
  <si>
    <t xml:space="preserve">  5．DTO【Request用】.対象条件コース情報エンティティーへ</t>
  </si>
  <si>
    <t xml:space="preserve">  1．DTO【Request用】.対象会社コードへDTO【Session用】.対象会社コードを設定する。</t>
    <phoneticPr fontId="2"/>
  </si>
  <si>
    <t>２．DTO【Request用】へCSVダウンロード条件データコピー処理</t>
    <phoneticPr fontId="2"/>
  </si>
  <si>
    <t xml:space="preserve">        DTO【Session用】.選択支部コードへ処理１のウィンドウIDをKeyに、DTO【Request用】.リクエスト支部コードを設定する。</t>
  </si>
  <si>
    <t xml:space="preserve">  3．DTO【Session用】.CSV区分へ処理１のウィンドウIDをKeyに、 DTO【Request用】.リクエスト区分を設定する。</t>
  </si>
  <si>
    <t xml:space="preserve">     DTO【Request用】.ウィンドウIDをKeyに DTO【Session用】.対象条件コース情報エンティティーを取得し、その値を設定する。</t>
  </si>
  <si>
    <t xml:space="preserve">  6．DTO【Request用】.CSV対象条件へ、DTO【Request用】.ウィンドウIDをKeyにDTO【Session用】.対象条件を取得し、その値を設定する。</t>
  </si>
  <si>
    <t xml:space="preserve">  7．DTO【Request用】.CSV支部コードへ、DTO【Request用】.ウィンドウIDをKeyにDTO【Session用】.支部コードを取得し、その値を設定する。</t>
  </si>
  <si>
    <t xml:space="preserve">  8．DTO【Request用】.CSVSVコードへ、DTO【Request用】.ウィンドウIDをKeyにDTO【Session用】.SVコードを取得し、その値を設定する。</t>
  </si>
  <si>
    <t xml:space="preserve">  9．DTO【Request用】.CSV区分へ、DTO【Request用】.ウィンドウIDをKeyに DTO【Session用】.区分を取得し、その値を設定する。</t>
  </si>
  <si>
    <t>１．継承クラス（共通アクション【CSV出力クラス】）のダウンロードメソッド実行。</t>
    <rPh sb="2" eb="4">
      <t>ケイショウ</t>
    </rPh>
    <rPh sb="8" eb="10">
      <t>キョウツウ</t>
    </rPh>
    <rPh sb="37" eb="39">
      <t>ジッコウ</t>
    </rPh>
    <phoneticPr fontId="2"/>
  </si>
  <si>
    <t>１．DTO【Session用】へリクエストされた検索対象条件項目保管処理</t>
    <phoneticPr fontId="2"/>
  </si>
  <si>
    <t>１－１３．DTO【リクエスト用】ウィンドウIDにDTO【SV選択】.ウィンドウIDを設定する。</t>
  </si>
  <si>
    <t>２－５．</t>
    <phoneticPr fontId="2"/>
  </si>
  <si>
    <t>DTO【リクエスト用】ウィンドウIDにDTO【SV選択】.ウィンドウIDを設定する。</t>
  </si>
  <si>
    <t>※2007/02/02</t>
    <phoneticPr fontId="2"/>
  </si>
  <si>
    <t>画面イメージ変更</t>
    <rPh sb="0" eb="2">
      <t>ガメン</t>
    </rPh>
    <rPh sb="6" eb="8">
      <t>ヘンコウ</t>
    </rPh>
    <phoneticPr fontId="2"/>
  </si>
  <si>
    <t>区分を上に移動し、</t>
    <rPh sb="0" eb="2">
      <t>クブン</t>
    </rPh>
    <rPh sb="3" eb="4">
      <t>ウエ</t>
    </rPh>
    <rPh sb="5" eb="7">
      <t>イドウ</t>
    </rPh>
    <phoneticPr fontId="2"/>
  </si>
  <si>
    <t>参加オーナーなどを横に</t>
    <rPh sb="0" eb="2">
      <t>サンカ</t>
    </rPh>
    <rPh sb="9" eb="10">
      <t>ヨコ</t>
    </rPh>
    <phoneticPr fontId="2"/>
  </si>
  <si>
    <t>並べる。</t>
    <rPh sb="0" eb="1">
      <t>ナラ</t>
    </rPh>
    <phoneticPr fontId="2"/>
  </si>
  <si>
    <t>区分を追加</t>
    <rPh sb="0" eb="2">
      <t>クブン</t>
    </rPh>
    <rPh sb="3" eb="5">
      <t>ツイカ</t>
    </rPh>
    <phoneticPr fontId="2"/>
  </si>
  <si>
    <t>2007/02/02変更</t>
    <rPh sb="10" eb="12">
      <t>ヘンコウ</t>
    </rPh>
    <phoneticPr fontId="2"/>
  </si>
  <si>
    <r>
      <t>区分が「参加」で「ダウンロード」ボタン押下時、</t>
    </r>
    <r>
      <rPr>
        <strike/>
        <sz val="10"/>
        <rFont val="ＭＳ Ｐゴシック"/>
        <family val="3"/>
        <charset val="128"/>
      </rPr>
      <t>現在表示されている対象の</t>
    </r>
    <r>
      <rPr>
        <sz val="10"/>
        <color indexed="10"/>
        <rFont val="ＭＳ Ｐゴシック"/>
        <family val="3"/>
        <charset val="128"/>
      </rPr>
      <t>対象条件に関係なく</t>
    </r>
    <r>
      <rPr>
        <sz val="10"/>
        <rFont val="ＭＳ Ｐゴシック"/>
        <family val="3"/>
        <charset val="128"/>
      </rPr>
      <t>「参加」者の情報をCSVレイアウトに基づいてダウンロードする。また、ダウンロードされるファイル名は「NATIONAL_SANKA+エントリー年度+エントリー回+.ｃｓｖ」とする。
(e.g.)NATIONAL_SANKA2006001.ｃｓｖ</t>
    </r>
    <rPh sb="0" eb="2">
      <t>クブン</t>
    </rPh>
    <rPh sb="4" eb="6">
      <t>サンカ</t>
    </rPh>
    <rPh sb="19" eb="21">
      <t>オウカ</t>
    </rPh>
    <rPh sb="21" eb="22">
      <t>ジ</t>
    </rPh>
    <rPh sb="23" eb="25">
      <t>ゲンザイ</t>
    </rPh>
    <rPh sb="25" eb="27">
      <t>ヒョウジ</t>
    </rPh>
    <rPh sb="32" eb="34">
      <t>タイショウ</t>
    </rPh>
    <rPh sb="35" eb="37">
      <t>タイショウ</t>
    </rPh>
    <rPh sb="37" eb="39">
      <t>ジョウケン</t>
    </rPh>
    <rPh sb="40" eb="42">
      <t>カンケイ</t>
    </rPh>
    <rPh sb="45" eb="47">
      <t>サンカ</t>
    </rPh>
    <rPh sb="48" eb="49">
      <t>シャ</t>
    </rPh>
    <rPh sb="50" eb="52">
      <t>ジョウホウ</t>
    </rPh>
    <rPh sb="62" eb="63">
      <t>モト</t>
    </rPh>
    <phoneticPr fontId="2"/>
  </si>
  <si>
    <r>
      <t>区分が「不参加」で「ダウンロード」ボタン押下時、</t>
    </r>
    <r>
      <rPr>
        <strike/>
        <sz val="10"/>
        <rFont val="ＭＳ Ｐゴシック"/>
        <family val="3"/>
        <charset val="128"/>
      </rPr>
      <t>現在表示されている対象の</t>
    </r>
    <r>
      <rPr>
        <sz val="10"/>
        <color indexed="10"/>
        <rFont val="ＭＳ Ｐゴシック"/>
        <family val="3"/>
        <charset val="128"/>
      </rPr>
      <t>対象条件に関係なく</t>
    </r>
    <r>
      <rPr>
        <sz val="10"/>
        <rFont val="ＭＳ Ｐゴシック"/>
        <family val="3"/>
        <charset val="128"/>
      </rPr>
      <t>「不参加」者の情報をCSVレイアウトに基づいてダウンロードする。また、ダウンロードされるファイル名は「NATIONAL_FUSANKA+エントリー年度+エントリー回+.ｃｓｖ」とする。
(e.g.)NATIONAL_FUSANKA2006001.ｃｓｖ</t>
    </r>
    <rPh sb="0" eb="2">
      <t>クブン</t>
    </rPh>
    <rPh sb="4" eb="7">
      <t>フサンカ</t>
    </rPh>
    <rPh sb="20" eb="22">
      <t>オウカ</t>
    </rPh>
    <rPh sb="22" eb="23">
      <t>ドキ</t>
    </rPh>
    <rPh sb="46" eb="49">
      <t>フサンカ</t>
    </rPh>
    <rPh sb="50" eb="51">
      <t>シャ</t>
    </rPh>
    <rPh sb="52" eb="54">
      <t>ジョウホウ</t>
    </rPh>
    <rPh sb="64" eb="65">
      <t>モト</t>
    </rPh>
    <phoneticPr fontId="2"/>
  </si>
  <si>
    <r>
      <t>「対象条件」が「SVコード」の場合、データ部に表示するのはSP030110の条件に、</t>
    </r>
    <r>
      <rPr>
        <sz val="10"/>
        <color indexed="10"/>
        <rFont val="ＭＳ Ｐゴシック"/>
        <family val="3"/>
        <charset val="128"/>
      </rPr>
      <t>SV担当店舗のうち本部申込開始日時点でクローズしていない店舗が</t>
    </r>
    <r>
      <rPr>
        <sz val="10"/>
        <rFont val="ＭＳ Ｐゴシック"/>
        <family val="3"/>
        <charset val="128"/>
      </rPr>
      <t>属するオーナーのみという条件を加えた結果を表示する。</t>
    </r>
    <rPh sb="1" eb="3">
      <t>タイショウ</t>
    </rPh>
    <rPh sb="3" eb="5">
      <t>ジョウケン</t>
    </rPh>
    <rPh sb="15" eb="17">
      <t>バアイ</t>
    </rPh>
    <rPh sb="44" eb="46">
      <t>タントウ</t>
    </rPh>
    <rPh sb="46" eb="48">
      <t>テンポ</t>
    </rPh>
    <rPh sb="51" eb="53">
      <t>ホンブ</t>
    </rPh>
    <rPh sb="53" eb="55">
      <t>モウシコミ</t>
    </rPh>
    <rPh sb="55" eb="57">
      <t>カイシ</t>
    </rPh>
    <rPh sb="57" eb="58">
      <t>ヒ</t>
    </rPh>
    <rPh sb="58" eb="60">
      <t>ジテン</t>
    </rPh>
    <rPh sb="70" eb="72">
      <t>テンポ</t>
    </rPh>
    <rPh sb="73" eb="74">
      <t>ゾク</t>
    </rPh>
    <rPh sb="85" eb="87">
      <t>ジョウケン</t>
    </rPh>
    <rPh sb="88" eb="89">
      <t>クワ</t>
    </rPh>
    <rPh sb="91" eb="93">
      <t>ケッカ</t>
    </rPh>
    <rPh sb="94" eb="96">
      <t>ヒョウジ</t>
    </rPh>
    <phoneticPr fontId="2"/>
  </si>
  <si>
    <t>本部申込開始日時点でクローズしていない店舗は下記で判断する。
本部申込開始日≦クローズ日</t>
    <rPh sb="19" eb="21">
      <t>テンポ</t>
    </rPh>
    <rPh sb="22" eb="24">
      <t>カキ</t>
    </rPh>
    <rPh sb="25" eb="27">
      <t>ハンダン</t>
    </rPh>
    <rPh sb="31" eb="33">
      <t>ホンブ</t>
    </rPh>
    <rPh sb="33" eb="35">
      <t>モウシコミ</t>
    </rPh>
    <rPh sb="35" eb="37">
      <t>カイシ</t>
    </rPh>
    <rPh sb="37" eb="38">
      <t>ヒ</t>
    </rPh>
    <rPh sb="43" eb="44">
      <t>ヒ</t>
    </rPh>
    <phoneticPr fontId="2"/>
  </si>
  <si>
    <t>2012/8/22
変更</t>
    <rPh sb="10" eb="12">
      <t>ヘンコウ</t>
    </rPh>
    <phoneticPr fontId="2"/>
  </si>
  <si>
    <r>
      <t>登録されているオーナーの、</t>
    </r>
    <r>
      <rPr>
        <sz val="10"/>
        <color indexed="10"/>
        <rFont val="ＭＳ Ｐゴシック"/>
        <family val="3"/>
        <charset val="128"/>
      </rPr>
      <t>本部申込開始日時点でクローズしていない</t>
    </r>
    <r>
      <rPr>
        <sz val="10"/>
        <rFont val="ＭＳ Ｐゴシック"/>
        <family val="3"/>
        <charset val="128"/>
      </rPr>
      <t xml:space="preserve">保有店舗が複数支部にまたがる場合、複数支部分を表示する。その場合、実際の登録店舗が属している支部側に人数を表示する。
</t>
    </r>
    <rPh sb="0" eb="2">
      <t>トウロク</t>
    </rPh>
    <rPh sb="13" eb="15">
      <t>ホンブ</t>
    </rPh>
    <rPh sb="15" eb="17">
      <t>モウシコミ</t>
    </rPh>
    <rPh sb="17" eb="19">
      <t>カイシ</t>
    </rPh>
    <rPh sb="19" eb="20">
      <t>ヒ</t>
    </rPh>
    <rPh sb="20" eb="22">
      <t>ジテン</t>
    </rPh>
    <rPh sb="32" eb="34">
      <t>ホユウ</t>
    </rPh>
    <rPh sb="34" eb="36">
      <t>テンポ</t>
    </rPh>
    <rPh sb="37" eb="39">
      <t>フクスウ</t>
    </rPh>
    <rPh sb="39" eb="41">
      <t>シブ</t>
    </rPh>
    <rPh sb="46" eb="48">
      <t>バアイ</t>
    </rPh>
    <rPh sb="49" eb="51">
      <t>フクスウ</t>
    </rPh>
    <rPh sb="51" eb="53">
      <t>シブ</t>
    </rPh>
    <rPh sb="53" eb="54">
      <t>ブン</t>
    </rPh>
    <rPh sb="55" eb="57">
      <t>ヒョウジ</t>
    </rPh>
    <rPh sb="62" eb="64">
      <t>バアイ</t>
    </rPh>
    <rPh sb="65" eb="67">
      <t>ジッサイ</t>
    </rPh>
    <rPh sb="68" eb="70">
      <t>トウロク</t>
    </rPh>
    <rPh sb="70" eb="72">
      <t>テンポ</t>
    </rPh>
    <rPh sb="73" eb="74">
      <t>ゾク</t>
    </rPh>
    <rPh sb="78" eb="80">
      <t>シブ</t>
    </rPh>
    <rPh sb="80" eb="81">
      <t>ガワ</t>
    </rPh>
    <rPh sb="82" eb="84">
      <t>ニンズウ</t>
    </rPh>
    <rPh sb="85" eb="87">
      <t>ヒョウジ</t>
    </rPh>
    <phoneticPr fontId="2"/>
  </si>
  <si>
    <r>
      <t>区分が「未登録」で「ダウンロード」ボタン押下時、</t>
    </r>
    <r>
      <rPr>
        <strike/>
        <sz val="10"/>
        <rFont val="ＭＳ Ｐゴシック"/>
        <family val="3"/>
        <charset val="128"/>
      </rPr>
      <t>現在表示されている対象に</t>
    </r>
    <r>
      <rPr>
        <sz val="10"/>
        <color indexed="10"/>
        <rFont val="ＭＳ Ｐゴシック"/>
        <family val="3"/>
        <charset val="128"/>
      </rPr>
      <t>対象条件に関係なく</t>
    </r>
    <r>
      <rPr>
        <sz val="10"/>
        <rFont val="ＭＳ Ｐゴシック"/>
        <family val="3"/>
        <charset val="128"/>
      </rPr>
      <t>登録されていない</t>
    </r>
    <r>
      <rPr>
        <sz val="10"/>
        <color indexed="10"/>
        <rFont val="ＭＳ Ｐゴシック"/>
        <family val="3"/>
        <charset val="128"/>
      </rPr>
      <t>現在契約中の</t>
    </r>
    <r>
      <rPr>
        <sz val="10"/>
        <rFont val="ＭＳ Ｐゴシック"/>
        <family val="3"/>
        <charset val="128"/>
      </rPr>
      <t xml:space="preserve">オーナー情報をCSVレイアウトに基づいてダウンロードする。また、ダウンロードされるファイル名は「NATIONAL_MITOUROKU+エントリー年度+エントリー回+.ｃｓｖ」とする。
(e.g.)NATIONAL_MITOUROKU2006001.ｃｓｖ
</t>
    </r>
    <rPh sb="0" eb="2">
      <t>クブン</t>
    </rPh>
    <rPh sb="4" eb="7">
      <t>ミトウロク</t>
    </rPh>
    <rPh sb="20" eb="22">
      <t>オウカ</t>
    </rPh>
    <rPh sb="22" eb="23">
      <t>ドキ</t>
    </rPh>
    <rPh sb="24" eb="26">
      <t>ゲンザイ</t>
    </rPh>
    <rPh sb="26" eb="28">
      <t>ヒョウジ</t>
    </rPh>
    <rPh sb="33" eb="35">
      <t>タイショウ</t>
    </rPh>
    <rPh sb="36" eb="38">
      <t>タイショウ</t>
    </rPh>
    <rPh sb="38" eb="40">
      <t>ジョウケン</t>
    </rPh>
    <rPh sb="41" eb="43">
      <t>カンケイ</t>
    </rPh>
    <rPh sb="45" eb="47">
      <t>トウロク</t>
    </rPh>
    <rPh sb="53" eb="55">
      <t>ゲンザイ</t>
    </rPh>
    <rPh sb="55" eb="57">
      <t>ケイヤク</t>
    </rPh>
    <rPh sb="57" eb="58">
      <t>チュウ</t>
    </rPh>
    <rPh sb="63" eb="65">
      <t>ジョウホウ</t>
    </rPh>
    <rPh sb="75" eb="76">
      <t>モト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</si>
</sst>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90" formatCode="yyyy/mm/dd"/>
  </numFmts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4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color indexed="18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sz val="9"/>
      <color indexed="62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u/>
      <sz val="9"/>
      <color indexed="12"/>
      <name val="ＭＳ Ｐゴシック"/>
      <family val="3"/>
      <charset val="128"/>
    </font>
    <font>
      <sz val="11"/>
      <color indexed="23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trike/>
      <sz val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/>
  </cellStyleXfs>
  <cellXfs count="348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2" xfId="0" applyFont="1" applyBorder="1" applyAlignment="1"/>
    <xf numFmtId="0" fontId="0" fillId="0" borderId="2" xfId="0" applyBorder="1"/>
    <xf numFmtId="0" fontId="3" fillId="0" borderId="2" xfId="0" applyFont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0" fillId="0" borderId="4" xfId="0" applyFill="1" applyBorder="1" applyAlignment="1"/>
    <xf numFmtId="0" fontId="0" fillId="0" borderId="4" xfId="0" applyFill="1" applyBorder="1"/>
    <xf numFmtId="0" fontId="0" fillId="0" borderId="5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0" borderId="3" xfId="0" applyFont="1" applyFill="1" applyBorder="1"/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6" fillId="4" borderId="3" xfId="0" applyFont="1" applyFill="1" applyBorder="1"/>
    <xf numFmtId="0" fontId="6" fillId="0" borderId="4" xfId="0" applyFont="1" applyFill="1" applyBorder="1"/>
    <xf numFmtId="0" fontId="6" fillId="0" borderId="5" xfId="0" applyFont="1" applyFill="1" applyBorder="1"/>
    <xf numFmtId="0" fontId="7" fillId="0" borderId="6" xfId="0" applyFont="1" applyFill="1" applyBorder="1"/>
    <xf numFmtId="0" fontId="0" fillId="0" borderId="7" xfId="0" applyFill="1" applyBorder="1"/>
    <xf numFmtId="0" fontId="0" fillId="0" borderId="8" xfId="0" applyFill="1" applyBorder="1"/>
    <xf numFmtId="0" fontId="7" fillId="0" borderId="9" xfId="0" applyFont="1" applyFill="1" applyBorder="1"/>
    <xf numFmtId="0" fontId="0" fillId="0" borderId="0" xfId="0" applyFill="1" applyBorder="1"/>
    <xf numFmtId="0" fontId="8" fillId="0" borderId="0" xfId="0" applyFont="1" applyFill="1" applyBorder="1"/>
    <xf numFmtId="0" fontId="0" fillId="0" borderId="10" xfId="0" applyFill="1" applyBorder="1"/>
    <xf numFmtId="0" fontId="0" fillId="0" borderId="9" xfId="0" applyFill="1" applyBorder="1"/>
    <xf numFmtId="0" fontId="7" fillId="0" borderId="9" xfId="0" quotePrefix="1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0" fillId="0" borderId="0" xfId="0" quotePrefix="1" applyFill="1" applyBorder="1" applyAlignment="1">
      <alignment horizontal="right"/>
    </xf>
    <xf numFmtId="0" fontId="1" fillId="0" borderId="9" xfId="0" applyFont="1" applyFill="1" applyBorder="1" applyAlignment="1">
      <alignment horizontal="right"/>
    </xf>
    <xf numFmtId="0" fontId="9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1" fillId="3" borderId="3" xfId="0" applyFont="1" applyFill="1" applyBorder="1" applyAlignment="1"/>
    <xf numFmtId="0" fontId="1" fillId="3" borderId="4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3" borderId="5" xfId="0" applyFont="1" applyFill="1" applyBorder="1" applyAlignment="1"/>
    <xf numFmtId="0" fontId="0" fillId="0" borderId="3" xfId="0" applyFill="1" applyBorder="1" applyAlignment="1"/>
    <xf numFmtId="0" fontId="4" fillId="0" borderId="0" xfId="0" applyFont="1" applyFill="1" applyBorder="1"/>
    <xf numFmtId="0" fontId="4" fillId="0" borderId="1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11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49" fontId="1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7" fillId="0" borderId="9" xfId="0" applyFont="1" applyFill="1" applyBorder="1" applyAlignment="1"/>
    <xf numFmtId="0" fontId="0" fillId="0" borderId="0" xfId="0" applyFill="1" applyBorder="1" applyAlignment="1"/>
    <xf numFmtId="0" fontId="5" fillId="0" borderId="0" xfId="0" applyFont="1" applyFill="1" applyBorder="1" applyAlignment="1"/>
    <xf numFmtId="0" fontId="6" fillId="0" borderId="9" xfId="0" applyFont="1" applyFill="1" applyBorder="1"/>
    <xf numFmtId="0" fontId="6" fillId="0" borderId="0" xfId="0" applyFont="1" applyFill="1" applyBorder="1" applyAlignment="1">
      <alignment vertical="center"/>
    </xf>
    <xf numFmtId="0" fontId="0" fillId="0" borderId="9" xfId="0" applyFill="1" applyBorder="1" applyAlignment="1"/>
    <xf numFmtId="0" fontId="0" fillId="0" borderId="0" xfId="0" applyBorder="1" applyAlignment="1"/>
    <xf numFmtId="0" fontId="6" fillId="0" borderId="0" xfId="0" applyFont="1" applyFill="1" applyBorder="1" applyAlignment="1"/>
    <xf numFmtId="0" fontId="5" fillId="2" borderId="3" xfId="0" applyFont="1" applyFill="1" applyBorder="1" applyAlignment="1">
      <alignment horizontal="left" indent="1"/>
    </xf>
    <xf numFmtId="0" fontId="0" fillId="4" borderId="3" xfId="0" applyFill="1" applyBorder="1" applyAlignment="1">
      <alignment horizontal="left"/>
    </xf>
    <xf numFmtId="0" fontId="0" fillId="4" borderId="5" xfId="0" applyFill="1" applyBorder="1" applyAlignment="1"/>
    <xf numFmtId="0" fontId="0" fillId="5" borderId="3" xfId="0" applyFill="1" applyBorder="1" applyAlignment="1"/>
    <xf numFmtId="0" fontId="7" fillId="5" borderId="4" xfId="0" applyFont="1" applyFill="1" applyBorder="1" applyAlignment="1"/>
    <xf numFmtId="0" fontId="7" fillId="5" borderId="5" xfId="0" applyFont="1" applyFill="1" applyBorder="1" applyAlignment="1"/>
    <xf numFmtId="0" fontId="0" fillId="3" borderId="14" xfId="0" applyFill="1" applyBorder="1"/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6" fillId="6" borderId="3" xfId="0" applyFont="1" applyFill="1" applyBorder="1" applyAlignment="1"/>
    <xf numFmtId="0" fontId="6" fillId="6" borderId="4" xfId="0" applyFont="1" applyFill="1" applyBorder="1" applyAlignment="1"/>
    <xf numFmtId="0" fontId="6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6" fillId="6" borderId="4" xfId="0" applyFont="1" applyFill="1" applyBorder="1"/>
    <xf numFmtId="0" fontId="13" fillId="6" borderId="4" xfId="0" applyFont="1" applyFill="1" applyBorder="1" applyAlignment="1"/>
    <xf numFmtId="0" fontId="6" fillId="6" borderId="5" xfId="0" applyFont="1" applyFill="1" applyBorder="1"/>
    <xf numFmtId="0" fontId="6" fillId="0" borderId="3" xfId="0" applyFont="1" applyFill="1" applyBorder="1" applyAlignment="1"/>
    <xf numFmtId="0" fontId="6" fillId="0" borderId="4" xfId="0" applyFont="1" applyFill="1" applyBorder="1" applyAlignment="1"/>
    <xf numFmtId="0" fontId="6" fillId="0" borderId="5" xfId="0" applyFont="1" applyFill="1" applyBorder="1" applyAlignment="1"/>
    <xf numFmtId="0" fontId="6" fillId="0" borderId="14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centerContinuous"/>
    </xf>
    <xf numFmtId="0" fontId="6" fillId="0" borderId="4" xfId="0" applyFont="1" applyFill="1" applyBorder="1" applyAlignment="1">
      <alignment horizontal="centerContinuous"/>
    </xf>
    <xf numFmtId="0" fontId="6" fillId="0" borderId="3" xfId="0" applyFont="1" applyFill="1" applyBorder="1" applyAlignment="1">
      <alignment horizontal="left"/>
    </xf>
    <xf numFmtId="0" fontId="6" fillId="0" borderId="4" xfId="0" applyFont="1" applyBorder="1"/>
    <xf numFmtId="0" fontId="13" fillId="0" borderId="5" xfId="0" applyFont="1" applyFill="1" applyBorder="1" applyAlignment="1"/>
    <xf numFmtId="0" fontId="13" fillId="0" borderId="3" xfId="0" applyFont="1" applyFill="1" applyBorder="1" applyAlignment="1"/>
    <xf numFmtId="0" fontId="13" fillId="0" borderId="4" xfId="0" applyFont="1" applyFill="1" applyBorder="1" applyAlignment="1"/>
    <xf numFmtId="0" fontId="1" fillId="0" borderId="5" xfId="0" applyFont="1" applyFill="1" applyBorder="1"/>
    <xf numFmtId="0" fontId="1" fillId="3" borderId="4" xfId="0" applyFont="1" applyFill="1" applyBorder="1"/>
    <xf numFmtId="0" fontId="6" fillId="7" borderId="3" xfId="0" applyFont="1" applyFill="1" applyBorder="1"/>
    <xf numFmtId="0" fontId="6" fillId="7" borderId="4" xfId="0" applyFont="1" applyFill="1" applyBorder="1"/>
    <xf numFmtId="0" fontId="6" fillId="7" borderId="5" xfId="0" applyFont="1" applyFill="1" applyBorder="1"/>
    <xf numFmtId="0" fontId="6" fillId="7" borderId="4" xfId="0" applyFont="1" applyFill="1" applyBorder="1" applyAlignment="1"/>
    <xf numFmtId="0" fontId="6" fillId="0" borderId="9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10" xfId="0" applyFont="1" applyBorder="1"/>
    <xf numFmtId="0" fontId="6" fillId="0" borderId="6" xfId="0" applyFont="1" applyFill="1" applyBorder="1" applyAlignment="1"/>
    <xf numFmtId="0" fontId="6" fillId="0" borderId="7" xfId="0" applyFont="1" applyFill="1" applyBorder="1" applyAlignment="1"/>
    <xf numFmtId="0" fontId="6" fillId="0" borderId="7" xfId="0" applyFont="1" applyBorder="1"/>
    <xf numFmtId="0" fontId="6" fillId="0" borderId="7" xfId="0" applyFont="1" applyFill="1" applyBorder="1" applyAlignment="1">
      <alignment horizontal="center"/>
    </xf>
    <xf numFmtId="0" fontId="13" fillId="0" borderId="7" xfId="0" applyFont="1" applyFill="1" applyBorder="1" applyAlignment="1"/>
    <xf numFmtId="0" fontId="6" fillId="0" borderId="8" xfId="0" applyFont="1" applyFill="1" applyBorder="1"/>
    <xf numFmtId="0" fontId="6" fillId="0" borderId="9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wrapText="1"/>
    </xf>
    <xf numFmtId="0" fontId="6" fillId="0" borderId="1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0" fillId="0" borderId="9" xfId="0" applyFont="1" applyFill="1" applyBorder="1" applyAlignment="1">
      <alignment horizontal="right"/>
    </xf>
    <xf numFmtId="0" fontId="6" fillId="0" borderId="10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right"/>
    </xf>
    <xf numFmtId="0" fontId="6" fillId="0" borderId="12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0" borderId="12" xfId="0" applyFont="1" applyFill="1" applyBorder="1"/>
    <xf numFmtId="0" fontId="6" fillId="0" borderId="13" xfId="0" applyFont="1" applyFill="1" applyBorder="1"/>
    <xf numFmtId="0" fontId="6" fillId="0" borderId="10" xfId="0" applyFont="1" applyBorder="1" applyAlignment="1">
      <alignment horizontal="left"/>
    </xf>
    <xf numFmtId="0" fontId="5" fillId="8" borderId="0" xfId="0" applyFont="1" applyFill="1" applyBorder="1"/>
    <xf numFmtId="0" fontId="5" fillId="8" borderId="0" xfId="0" applyFont="1" applyFill="1" applyBorder="1" applyAlignment="1"/>
    <xf numFmtId="0" fontId="1" fillId="3" borderId="3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3" borderId="14" xfId="0" applyFont="1" applyFill="1" applyBorder="1" applyAlignment="1">
      <alignment vertical="center" wrapText="1"/>
    </xf>
    <xf numFmtId="0" fontId="0" fillId="0" borderId="14" xfId="0" applyBorder="1" applyAlignment="1">
      <alignment vertical="center"/>
    </xf>
    <xf numFmtId="0" fontId="4" fillId="3" borderId="14" xfId="0" applyFont="1" applyFill="1" applyBorder="1"/>
    <xf numFmtId="0" fontId="4" fillId="3" borderId="3" xfId="0" applyFont="1" applyFill="1" applyBorder="1"/>
    <xf numFmtId="176" fontId="4" fillId="0" borderId="15" xfId="0" applyNumberFormat="1" applyFont="1" applyBorder="1" applyAlignment="1">
      <alignment vertical="top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1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15" xfId="0" applyFont="1" applyBorder="1" applyAlignment="1">
      <alignment vertical="top" wrapText="1"/>
    </xf>
    <xf numFmtId="190" fontId="4" fillId="0" borderId="6" xfId="0" applyNumberFormat="1" applyFont="1" applyBorder="1" applyAlignment="1">
      <alignment horizontal="center" vertical="top"/>
    </xf>
    <xf numFmtId="176" fontId="4" fillId="0" borderId="16" xfId="0" applyNumberFormat="1" applyFont="1" applyBorder="1" applyAlignment="1">
      <alignment vertical="top"/>
    </xf>
    <xf numFmtId="0" fontId="4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/>
    </xf>
    <xf numFmtId="0" fontId="15" fillId="0" borderId="10" xfId="0" applyFont="1" applyBorder="1" applyAlignment="1">
      <alignment vertical="top"/>
    </xf>
    <xf numFmtId="0" fontId="4" fillId="0" borderId="16" xfId="0" applyFont="1" applyBorder="1" applyAlignment="1">
      <alignment horizontal="center" vertical="top"/>
    </xf>
    <xf numFmtId="0" fontId="15" fillId="0" borderId="13" xfId="0" applyFont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14" xfId="0" applyFont="1" applyBorder="1" applyAlignment="1">
      <alignment horizontal="center" vertical="top"/>
    </xf>
    <xf numFmtId="0" fontId="4" fillId="0" borderId="14" xfId="0" applyFont="1" applyBorder="1" applyAlignment="1">
      <alignment vertical="top" wrapText="1"/>
    </xf>
    <xf numFmtId="0" fontId="4" fillId="0" borderId="15" xfId="2" applyFont="1" applyBorder="1" applyAlignment="1">
      <alignment vertical="top" wrapText="1"/>
    </xf>
    <xf numFmtId="0" fontId="0" fillId="0" borderId="4" xfId="0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0" fillId="3" borderId="7" xfId="0" applyFill="1" applyBorder="1" applyAlignment="1"/>
    <xf numFmtId="0" fontId="0" fillId="3" borderId="8" xfId="0" applyFill="1" applyBorder="1" applyAlignment="1"/>
    <xf numFmtId="49" fontId="6" fillId="5" borderId="3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vertical="center"/>
    </xf>
    <xf numFmtId="49" fontId="6" fillId="5" borderId="5" xfId="0" applyNumberFormat="1" applyFont="1" applyFill="1" applyBorder="1" applyAlignment="1">
      <alignment vertical="center"/>
    </xf>
    <xf numFmtId="0" fontId="0" fillId="8" borderId="0" xfId="0" applyFill="1" applyBorder="1" applyAlignment="1"/>
    <xf numFmtId="0" fontId="0" fillId="0" borderId="12" xfId="0" applyBorder="1"/>
    <xf numFmtId="0" fontId="0" fillId="3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left"/>
    </xf>
    <xf numFmtId="0" fontId="4" fillId="0" borderId="16" xfId="0" applyFont="1" applyBorder="1" applyAlignment="1">
      <alignment vertical="top" wrapText="1"/>
    </xf>
    <xf numFmtId="0" fontId="4" fillId="0" borderId="0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17" fillId="0" borderId="14" xfId="0" applyFont="1" applyBorder="1" applyAlignment="1">
      <alignment vertical="top" wrapText="1"/>
    </xf>
    <xf numFmtId="0" fontId="4" fillId="0" borderId="8" xfId="0" applyFont="1" applyFill="1" applyBorder="1" applyAlignment="1">
      <alignment vertical="top"/>
    </xf>
    <xf numFmtId="0" fontId="4" fillId="0" borderId="15" xfId="0" applyFont="1" applyFill="1" applyBorder="1" applyAlignment="1">
      <alignment horizontal="center" vertical="top"/>
    </xf>
    <xf numFmtId="0" fontId="4" fillId="0" borderId="14" xfId="0" applyFont="1" applyFill="1" applyBorder="1" applyAlignment="1">
      <alignment horizontal="center" vertical="top"/>
    </xf>
    <xf numFmtId="0" fontId="4" fillId="0" borderId="14" xfId="0" applyFont="1" applyFill="1" applyBorder="1" applyAlignment="1">
      <alignment vertical="top" wrapText="1"/>
    </xf>
    <xf numFmtId="190" fontId="4" fillId="0" borderId="6" xfId="0" applyNumberFormat="1" applyFont="1" applyFill="1" applyBorder="1" applyAlignment="1">
      <alignment horizontal="center" vertical="top"/>
    </xf>
    <xf numFmtId="0" fontId="4" fillId="0" borderId="10" xfId="0" applyFont="1" applyFill="1" applyBorder="1" applyAlignment="1">
      <alignment vertical="top"/>
    </xf>
    <xf numFmtId="0" fontId="4" fillId="0" borderId="16" xfId="0" applyFont="1" applyFill="1" applyBorder="1" applyAlignment="1">
      <alignment horizontal="center" vertical="top"/>
    </xf>
    <xf numFmtId="0" fontId="4" fillId="0" borderId="13" xfId="0" applyFont="1" applyFill="1" applyBorder="1" applyAlignment="1">
      <alignment vertical="top"/>
    </xf>
    <xf numFmtId="0" fontId="4" fillId="0" borderId="17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center" vertical="top"/>
    </xf>
    <xf numFmtId="0" fontId="4" fillId="0" borderId="15" xfId="0" applyFont="1" applyFill="1" applyBorder="1" applyAlignment="1">
      <alignment vertical="top" wrapText="1"/>
    </xf>
    <xf numFmtId="0" fontId="1" fillId="0" borderId="0" xfId="1">
      <alignment vertical="center"/>
    </xf>
    <xf numFmtId="0" fontId="1" fillId="0" borderId="0" xfId="1" applyFill="1" applyBorder="1">
      <alignment vertical="center"/>
    </xf>
    <xf numFmtId="0" fontId="1" fillId="0" borderId="10" xfId="1" applyFill="1" applyBorder="1">
      <alignment vertical="center"/>
    </xf>
    <xf numFmtId="0" fontId="1" fillId="0" borderId="9" xfId="1" applyFill="1" applyBorder="1">
      <alignment vertical="center"/>
    </xf>
    <xf numFmtId="0" fontId="0" fillId="0" borderId="14" xfId="0" applyBorder="1" applyAlignment="1">
      <alignment horizontal="center" vertical="center"/>
    </xf>
    <xf numFmtId="0" fontId="11" fillId="5" borderId="7" xfId="0" applyFont="1" applyFill="1" applyBorder="1" applyAlignment="1">
      <alignment vertical="center"/>
    </xf>
    <xf numFmtId="0" fontId="6" fillId="5" borderId="15" xfId="0" applyFont="1" applyFill="1" applyBorder="1" applyAlignment="1">
      <alignment horizontal="center"/>
    </xf>
    <xf numFmtId="0" fontId="11" fillId="5" borderId="12" xfId="0" applyFont="1" applyFill="1" applyBorder="1" applyAlignment="1">
      <alignment vertical="center"/>
    </xf>
    <xf numFmtId="0" fontId="6" fillId="5" borderId="17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6" fillId="3" borderId="14" xfId="0" applyFont="1" applyFill="1" applyBorder="1" applyAlignment="1">
      <alignment horizontal="center"/>
    </xf>
    <xf numFmtId="0" fontId="0" fillId="0" borderId="11" xfId="0" applyFill="1" applyBorder="1" applyAlignment="1"/>
    <xf numFmtId="0" fontId="0" fillId="0" borderId="12" xfId="0" applyFill="1" applyBorder="1" applyAlignment="1"/>
    <xf numFmtId="0" fontId="19" fillId="0" borderId="15" xfId="0" applyFont="1" applyBorder="1" applyAlignment="1">
      <alignment vertical="top" wrapText="1"/>
    </xf>
    <xf numFmtId="176" fontId="4" fillId="0" borderId="17" xfId="0" applyNumberFormat="1" applyFont="1" applyBorder="1" applyAlignment="1">
      <alignment vertical="top"/>
    </xf>
    <xf numFmtId="0" fontId="4" fillId="0" borderId="11" xfId="0" applyFont="1" applyBorder="1" applyAlignment="1">
      <alignment vertical="top" wrapText="1"/>
    </xf>
    <xf numFmtId="0" fontId="4" fillId="0" borderId="11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190" fontId="4" fillId="0" borderId="3" xfId="0" applyNumberFormat="1" applyFont="1" applyBorder="1" applyAlignment="1">
      <alignment horizontal="center" vertical="top"/>
    </xf>
    <xf numFmtId="0" fontId="16" fillId="3" borderId="14" xfId="0" applyFont="1" applyFill="1" applyBorder="1" applyAlignment="1">
      <alignment horizontal="left"/>
    </xf>
    <xf numFmtId="0" fontId="0" fillId="0" borderId="3" xfId="0" applyBorder="1"/>
    <xf numFmtId="0" fontId="6" fillId="0" borderId="3" xfId="0" applyFont="1" applyFill="1" applyBorder="1" applyAlignment="1">
      <alignment horizontal="center"/>
    </xf>
    <xf numFmtId="0" fontId="6" fillId="0" borderId="0" xfId="0" applyFont="1"/>
    <xf numFmtId="0" fontId="13" fillId="0" borderId="0" xfId="0" applyFont="1" applyFill="1" applyBorder="1" applyAlignment="1"/>
    <xf numFmtId="0" fontId="0" fillId="0" borderId="10" xfId="0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3" xfId="0" applyFont="1" applyBorder="1" applyAlignment="1"/>
    <xf numFmtId="0" fontId="1" fillId="3" borderId="7" xfId="0" applyFont="1" applyFill="1" applyBorder="1" applyAlignment="1">
      <alignment horizontal="center"/>
    </xf>
    <xf numFmtId="0" fontId="6" fillId="4" borderId="4" xfId="0" applyFont="1" applyFill="1" applyBorder="1"/>
    <xf numFmtId="0" fontId="1" fillId="3" borderId="8" xfId="0" applyFont="1" applyFill="1" applyBorder="1" applyAlignment="1">
      <alignment horizontal="center"/>
    </xf>
    <xf numFmtId="0" fontId="4" fillId="0" borderId="6" xfId="0" applyFont="1" applyBorder="1" applyAlignment="1"/>
    <xf numFmtId="0" fontId="4" fillId="0" borderId="7" xfId="0" applyFont="1" applyBorder="1" applyAlignment="1">
      <alignment vertical="center"/>
    </xf>
    <xf numFmtId="0" fontId="6" fillId="0" borderId="7" xfId="0" applyFont="1" applyFill="1" applyBorder="1"/>
    <xf numFmtId="0" fontId="4" fillId="0" borderId="6" xfId="0" applyFont="1" applyFill="1" applyBorder="1" applyAlignment="1">
      <alignment horizontal="left"/>
    </xf>
    <xf numFmtId="0" fontId="4" fillId="0" borderId="7" xfId="0" applyFont="1" applyFill="1" applyBorder="1" applyAlignment="1"/>
    <xf numFmtId="0" fontId="4" fillId="0" borderId="12" xfId="0" applyFont="1" applyFill="1" applyBorder="1" applyAlignment="1"/>
    <xf numFmtId="0" fontId="4" fillId="0" borderId="12" xfId="0" applyFont="1" applyBorder="1" applyAlignment="1">
      <alignment vertical="center"/>
    </xf>
    <xf numFmtId="190" fontId="13" fillId="0" borderId="6" xfId="0" applyNumberFormat="1" applyFont="1" applyBorder="1" applyAlignment="1">
      <alignment horizontal="center" vertical="top"/>
    </xf>
    <xf numFmtId="0" fontId="11" fillId="5" borderId="8" xfId="0" applyFont="1" applyFill="1" applyBorder="1" applyAlignment="1">
      <alignment vertical="center"/>
    </xf>
    <xf numFmtId="0" fontId="11" fillId="5" borderId="13" xfId="0" applyFont="1" applyFill="1" applyBorder="1" applyAlignment="1">
      <alignment vertical="center"/>
    </xf>
    <xf numFmtId="0" fontId="1" fillId="0" borderId="0" xfId="1" applyFo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/>
    </xf>
    <xf numFmtId="49" fontId="12" fillId="0" borderId="10" xfId="0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vertical="top" wrapText="1"/>
    </xf>
    <xf numFmtId="0" fontId="4" fillId="0" borderId="14" xfId="0" applyFont="1" applyBorder="1" applyAlignment="1">
      <alignment vertical="top"/>
    </xf>
    <xf numFmtId="190" fontId="13" fillId="0" borderId="14" xfId="0" applyNumberFormat="1" applyFont="1" applyBorder="1" applyAlignment="1">
      <alignment horizontal="center" vertical="top"/>
    </xf>
    <xf numFmtId="0" fontId="4" fillId="0" borderId="11" xfId="0" applyFont="1" applyBorder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0" xfId="0" applyFont="1" applyFill="1" applyBorder="1"/>
    <xf numFmtId="0" fontId="14" fillId="3" borderId="6" xfId="0" applyFont="1" applyFill="1" applyBorder="1" applyAlignment="1">
      <alignment horizontal="centerContinuous" vertical="center"/>
    </xf>
    <xf numFmtId="0" fontId="0" fillId="3" borderId="7" xfId="0" applyFill="1" applyBorder="1" applyAlignment="1">
      <alignment horizontal="centerContinuous"/>
    </xf>
    <xf numFmtId="0" fontId="0" fillId="3" borderId="8" xfId="0" applyFill="1" applyBorder="1" applyAlignment="1">
      <alignment horizontal="centerContinuous"/>
    </xf>
    <xf numFmtId="49" fontId="6" fillId="5" borderId="14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0" fontId="6" fillId="0" borderId="8" xfId="0" applyFont="1" applyBorder="1"/>
    <xf numFmtId="0" fontId="6" fillId="0" borderId="6" xfId="0" applyFont="1" applyFill="1" applyBorder="1" applyAlignment="1">
      <alignment horizontal="left"/>
    </xf>
    <xf numFmtId="0" fontId="0" fillId="0" borderId="14" xfId="0" applyBorder="1" applyAlignment="1">
      <alignment wrapText="1"/>
    </xf>
    <xf numFmtId="0" fontId="22" fillId="0" borderId="14" xfId="0" applyFont="1" applyBorder="1" applyAlignment="1">
      <alignment horizontal="center" vertical="center"/>
    </xf>
    <xf numFmtId="190" fontId="23" fillId="0" borderId="6" xfId="0" applyNumberFormat="1" applyFont="1" applyBorder="1" applyAlignment="1">
      <alignment horizontal="center" vertical="top" wrapText="1"/>
    </xf>
    <xf numFmtId="176" fontId="4" fillId="10" borderId="16" xfId="0" applyNumberFormat="1" applyFont="1" applyFill="1" applyBorder="1" applyAlignment="1">
      <alignment vertical="top"/>
    </xf>
    <xf numFmtId="0" fontId="4" fillId="10" borderId="9" xfId="0" applyFont="1" applyFill="1" applyBorder="1" applyAlignment="1">
      <alignment vertical="top" wrapText="1"/>
    </xf>
    <xf numFmtId="0" fontId="4" fillId="10" borderId="9" xfId="0" applyFont="1" applyFill="1" applyBorder="1" applyAlignment="1">
      <alignment vertical="top"/>
    </xf>
    <xf numFmtId="0" fontId="4" fillId="10" borderId="6" xfId="0" applyFont="1" applyFill="1" applyBorder="1" applyAlignment="1">
      <alignment vertical="top"/>
    </xf>
    <xf numFmtId="0" fontId="4" fillId="10" borderId="15" xfId="0" applyFont="1" applyFill="1" applyBorder="1" applyAlignment="1">
      <alignment horizontal="center" vertical="top"/>
    </xf>
    <xf numFmtId="0" fontId="4" fillId="10" borderId="6" xfId="0" applyFont="1" applyFill="1" applyBorder="1" applyAlignment="1">
      <alignment horizontal="center" vertical="top"/>
    </xf>
    <xf numFmtId="0" fontId="4" fillId="10" borderId="15" xfId="2" applyFont="1" applyFill="1" applyBorder="1" applyAlignment="1">
      <alignment vertical="top" wrapText="1"/>
    </xf>
    <xf numFmtId="190" fontId="13" fillId="10" borderId="6" xfId="0" applyNumberFormat="1" applyFont="1" applyFill="1" applyBorder="1" applyAlignment="1">
      <alignment horizontal="center" vertical="top" wrapText="1"/>
    </xf>
    <xf numFmtId="0" fontId="4" fillId="10" borderId="15" xfId="0" applyFont="1" applyFill="1" applyBorder="1" applyAlignment="1">
      <alignment vertical="top" wrapText="1"/>
    </xf>
    <xf numFmtId="0" fontId="0" fillId="10" borderId="14" xfId="0" applyFill="1" applyBorder="1" applyAlignment="1">
      <alignment horizontal="center" vertical="center"/>
    </xf>
    <xf numFmtId="0" fontId="0" fillId="10" borderId="0" xfId="0" applyFill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14" fontId="6" fillId="5" borderId="6" xfId="0" applyNumberFormat="1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1" fillId="9" borderId="6" xfId="0" applyFont="1" applyFill="1" applyBorder="1" applyAlignment="1">
      <alignment vertical="center"/>
    </xf>
    <xf numFmtId="0" fontId="11" fillId="9" borderId="8" xfId="0" applyFont="1" applyFill="1" applyBorder="1" applyAlignment="1">
      <alignment vertical="center"/>
    </xf>
    <xf numFmtId="0" fontId="11" fillId="9" borderId="11" xfId="0" applyFont="1" applyFill="1" applyBorder="1" applyAlignment="1">
      <alignment vertical="center"/>
    </xf>
    <xf numFmtId="0" fontId="11" fillId="9" borderId="13" xfId="0" applyFont="1" applyFill="1" applyBorder="1" applyAlignment="1">
      <alignment vertical="center"/>
    </xf>
    <xf numFmtId="49" fontId="6" fillId="5" borderId="6" xfId="0" applyNumberFormat="1" applyFont="1" applyFill="1" applyBorder="1" applyAlignment="1">
      <alignment vertical="center"/>
    </xf>
    <xf numFmtId="49" fontId="6" fillId="5" borderId="8" xfId="0" applyNumberFormat="1" applyFont="1" applyFill="1" applyBorder="1" applyAlignment="1">
      <alignment vertical="center"/>
    </xf>
    <xf numFmtId="49" fontId="6" fillId="5" borderId="11" xfId="0" applyNumberFormat="1" applyFont="1" applyFill="1" applyBorder="1" applyAlignment="1">
      <alignment vertical="center"/>
    </xf>
    <xf numFmtId="49" fontId="6" fillId="5" borderId="13" xfId="0" applyNumberFormat="1" applyFont="1" applyFill="1" applyBorder="1" applyAlignment="1">
      <alignment vertical="center"/>
    </xf>
    <xf numFmtId="0" fontId="20" fillId="5" borderId="14" xfId="0" applyFont="1" applyFill="1" applyBorder="1" applyAlignment="1">
      <alignment vertical="center"/>
    </xf>
    <xf numFmtId="0" fontId="21" fillId="5" borderId="6" xfId="0" applyFont="1" applyFill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3" fontId="14" fillId="3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5" borderId="14" xfId="0" applyFont="1" applyFill="1" applyBorder="1" applyAlignment="1">
      <alignment vertical="center"/>
    </xf>
    <xf numFmtId="49" fontId="6" fillId="5" borderId="14" xfId="0" applyNumberFormat="1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20" fillId="5" borderId="6" xfId="0" applyFont="1" applyFill="1" applyBorder="1" applyAlignment="1">
      <alignment vertical="center"/>
    </xf>
    <xf numFmtId="0" fontId="20" fillId="5" borderId="7" xfId="0" applyFont="1" applyFill="1" applyBorder="1" applyAlignment="1">
      <alignment vertical="center"/>
    </xf>
    <xf numFmtId="0" fontId="20" fillId="5" borderId="8" xfId="0" applyFont="1" applyFill="1" applyBorder="1" applyAlignment="1">
      <alignment vertical="center"/>
    </xf>
    <xf numFmtId="0" fontId="20" fillId="5" borderId="11" xfId="0" applyFont="1" applyFill="1" applyBorder="1" applyAlignment="1">
      <alignment vertical="center"/>
    </xf>
    <xf numFmtId="0" fontId="20" fillId="5" borderId="12" xfId="0" applyFont="1" applyFill="1" applyBorder="1" applyAlignment="1">
      <alignment vertical="center"/>
    </xf>
    <xf numFmtId="0" fontId="20" fillId="5" borderId="1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12" xfId="0" applyFont="1" applyFill="1" applyBorder="1" applyAlignment="1">
      <alignment vertical="center"/>
    </xf>
    <xf numFmtId="0" fontId="14" fillId="3" borderId="12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/>
    </xf>
    <xf numFmtId="49" fontId="6" fillId="5" borderId="14" xfId="0" applyNumberFormat="1" applyFont="1" applyFill="1" applyBorder="1" applyAlignment="1">
      <alignment horizontal="right" vertical="center"/>
    </xf>
    <xf numFmtId="49" fontId="6" fillId="5" borderId="6" xfId="0" applyNumberFormat="1" applyFont="1" applyFill="1" applyBorder="1" applyAlignment="1">
      <alignment horizontal="right" vertical="center"/>
    </xf>
    <xf numFmtId="49" fontId="6" fillId="5" borderId="8" xfId="0" applyNumberFormat="1" applyFont="1" applyFill="1" applyBorder="1" applyAlignment="1">
      <alignment horizontal="right" vertical="center"/>
    </xf>
    <xf numFmtId="49" fontId="6" fillId="5" borderId="11" xfId="0" applyNumberFormat="1" applyFont="1" applyFill="1" applyBorder="1" applyAlignment="1">
      <alignment horizontal="right" vertical="center"/>
    </xf>
    <xf numFmtId="49" fontId="6" fillId="5" borderId="13" xfId="0" applyNumberFormat="1" applyFont="1" applyFill="1" applyBorder="1" applyAlignment="1">
      <alignment horizontal="right" vertical="center"/>
    </xf>
    <xf numFmtId="49" fontId="6" fillId="5" borderId="14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7" borderId="4" xfId="0" applyFont="1" applyFill="1" applyBorder="1" applyAlignment="1">
      <alignment horizontal="center"/>
    </xf>
  </cellXfs>
  <cellStyles count="3">
    <cellStyle name="標準" xfId="0" builtinId="0"/>
    <cellStyle name="標準_Book1" xfId="1" xr:uid="{E1197DE6-C61D-482C-A248-2B1B6D0A0EC3}"/>
    <cellStyle name="標準_チェックリスト" xfId="2" xr:uid="{5130E0D4-8E88-45B0-876C-50319A0CE47D}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Lines="5" dropStyle="combo" dx="31" fmlaRange="$AD$47:$AD$49" sel="2" val="0"/>
</file>

<file path=xl/ctrlProps/ctrlProp2.xml><?xml version="1.0" encoding="utf-8"?>
<formControlPr xmlns="http://schemas.microsoft.com/office/spreadsheetml/2009/9/main" objectType="Drop" dropLines="5" dropStyle="combo" dx="31" fmlaRange="$AI$47:$AI$49" sel="1" val="0"/>
</file>

<file path=xl/ctrlProps/ctrlProp3.xml><?xml version="1.0" encoding="utf-8"?>
<formControlPr xmlns="http://schemas.microsoft.com/office/spreadsheetml/2009/9/main" objectType="Drop" dropLines="5" dropStyle="combo" dx="31" fmlaRange="$AD$47:$AD$49" noThreeD="1" sel="1" val="0"/>
</file>

<file path=xl/ctrlProps/ctrlProp4.xml><?xml version="1.0" encoding="utf-8"?>
<formControlPr xmlns="http://schemas.microsoft.com/office/spreadsheetml/2009/9/main" objectType="Drop" dropLines="15" dropStyle="combo" dx="31" fmlaRange="$AF$47:$AF$59" sel="1" val="0"/>
</file>

<file path=xl/ctrlProps/ctrlProp5.xml><?xml version="1.0" encoding="utf-8"?>
<formControlPr xmlns="http://schemas.microsoft.com/office/spreadsheetml/2009/9/main" objectType="Drop" dropLines="15" dropStyle="combo" dx="31" fmlaRange="$AF$47:$AF$59" sel="2" val="0"/>
</file>

<file path=xl/ctrlProps/ctrlProp6.xml><?xml version="1.0" encoding="utf-8"?>
<formControlPr xmlns="http://schemas.microsoft.com/office/spreadsheetml/2009/9/main" objectType="Drop" dropLines="5" dropStyle="combo" dx="31" fmlaRange="$AI$47:$AI$49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8440" cy="184666"/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2CDC08B-B78B-B922-0EFE-8248EA33DFB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  <a:endParaRPr lang="ja-JP" altLang="en-US"/>
        </a:p>
      </xdr:txBody>
    </xdr:sp>
    <xdr:clientData/>
  </xdr:oneCellAnchor>
  <xdr:twoCellAnchor>
    <xdr:from>
      <xdr:col>22</xdr:col>
      <xdr:colOff>25400</xdr:colOff>
      <xdr:row>0</xdr:row>
      <xdr:rowOff>0</xdr:rowOff>
    </xdr:from>
    <xdr:to>
      <xdr:col>25</xdr:col>
      <xdr:colOff>317500</xdr:colOff>
      <xdr:row>0</xdr:row>
      <xdr:rowOff>311150</xdr:rowOff>
    </xdr:to>
    <xdr:pic>
      <xdr:nvPicPr>
        <xdr:cNvPr id="7181" name="Picture 2" descr="http://www.isid.co.jp/images/logo/0001.gif">
          <a:extLst>
            <a:ext uri="{FF2B5EF4-FFF2-40B4-BE49-F238E27FC236}">
              <a16:creationId xmlns:a16="http://schemas.microsoft.com/office/drawing/2014/main" id="{7D4B39FD-20F7-1314-A344-83FD4929B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15300" y="0"/>
          <a:ext cx="13970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</xdr:rowOff>
    </xdr:from>
    <xdr:to>
      <xdr:col>11</xdr:col>
      <xdr:colOff>6350</xdr:colOff>
      <xdr:row>34</xdr:row>
      <xdr:rowOff>57150</xdr:rowOff>
    </xdr:to>
    <xdr:pic>
      <xdr:nvPicPr>
        <xdr:cNvPr id="11305" name="Picture 6">
          <a:extLst>
            <a:ext uri="{FF2B5EF4-FFF2-40B4-BE49-F238E27FC236}">
              <a16:creationId xmlns:a16="http://schemas.microsoft.com/office/drawing/2014/main" id="{124C1132-D6B3-F695-2C6A-C1B8CD84F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"/>
          <a:ext cx="6711950" cy="5664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35</xdr:row>
      <xdr:rowOff>6350</xdr:rowOff>
    </xdr:from>
    <xdr:to>
      <xdr:col>11</xdr:col>
      <xdr:colOff>6350</xdr:colOff>
      <xdr:row>69</xdr:row>
      <xdr:rowOff>57150</xdr:rowOff>
    </xdr:to>
    <xdr:pic>
      <xdr:nvPicPr>
        <xdr:cNvPr id="11306" name="Picture 7">
          <a:extLst>
            <a:ext uri="{FF2B5EF4-FFF2-40B4-BE49-F238E27FC236}">
              <a16:creationId xmlns:a16="http://schemas.microsoft.com/office/drawing/2014/main" id="{30DD9A44-6F12-D6B9-C739-0CAB210AA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4850"/>
          <a:ext cx="6711950" cy="5664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120650</xdr:colOff>
      <xdr:row>39</xdr:row>
      <xdr:rowOff>88900</xdr:rowOff>
    </xdr:from>
    <xdr:to>
      <xdr:col>2</xdr:col>
      <xdr:colOff>244519</xdr:colOff>
      <xdr:row>41</xdr:row>
      <xdr:rowOff>155575</xdr:rowOff>
    </xdr:to>
    <xdr:sp macro="" textlink="">
      <xdr:nvSpPr>
        <xdr:cNvPr id="11272" name="Text Box 8">
          <a:extLst>
            <a:ext uri="{FF2B5EF4-FFF2-40B4-BE49-F238E27FC236}">
              <a16:creationId xmlns:a16="http://schemas.microsoft.com/office/drawing/2014/main" id="{8CB6424C-51C8-D464-255C-B2AED6216FF9}"/>
            </a:ext>
          </a:extLst>
        </xdr:cNvPr>
        <xdr:cNvSpPr txBox="1">
          <a:spLocks noChangeArrowheads="1"/>
        </xdr:cNvSpPr>
      </xdr:nvSpPr>
      <xdr:spPr bwMode="auto">
        <a:xfrm>
          <a:off x="133350" y="6781800"/>
          <a:ext cx="151447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31750">
          <a:solidFill>
            <a:srgbClr xmlns:mc="http://schemas.openxmlformats.org/markup-compatibility/2006" xmlns:a14="http://schemas.microsoft.com/office/drawing/2010/main" val="003300" mc:Ignorable="a14" a14:legacySpreadsheetColorIndex="58"/>
          </a:solidFill>
          <a:prstDash val="sysDot"/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全オーナー</a:t>
          </a:r>
          <a:endParaRPr lang="ja-JP" altLang="en-US"/>
        </a:p>
      </xdr:txBody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11</xdr:col>
      <xdr:colOff>6350</xdr:colOff>
      <xdr:row>104</xdr:row>
      <xdr:rowOff>57150</xdr:rowOff>
    </xdr:to>
    <xdr:pic>
      <xdr:nvPicPr>
        <xdr:cNvPr id="11308" name="Picture 9">
          <a:extLst>
            <a:ext uri="{FF2B5EF4-FFF2-40B4-BE49-F238E27FC236}">
              <a16:creationId xmlns:a16="http://schemas.microsoft.com/office/drawing/2014/main" id="{B91CCBBC-7B3C-0372-A65D-4156BB3A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7000"/>
          <a:ext cx="6711950" cy="567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123825</xdr:colOff>
      <xdr:row>74</xdr:row>
      <xdr:rowOff>117475</xdr:rowOff>
    </xdr:from>
    <xdr:to>
      <xdr:col>2</xdr:col>
      <xdr:colOff>253970</xdr:colOff>
      <xdr:row>77</xdr:row>
      <xdr:rowOff>19102</xdr:rowOff>
    </xdr:to>
    <xdr:sp macro="" textlink="">
      <xdr:nvSpPr>
        <xdr:cNvPr id="11274" name="Text Box 10">
          <a:extLst>
            <a:ext uri="{FF2B5EF4-FFF2-40B4-BE49-F238E27FC236}">
              <a16:creationId xmlns:a16="http://schemas.microsoft.com/office/drawing/2014/main" id="{6E747B0E-1945-2406-11E5-6469C209ACE5}"/>
            </a:ext>
          </a:extLst>
        </xdr:cNvPr>
        <xdr:cNvSpPr txBox="1">
          <a:spLocks noChangeArrowheads="1"/>
        </xdr:cNvSpPr>
      </xdr:nvSpPr>
      <xdr:spPr bwMode="auto">
        <a:xfrm>
          <a:off x="142875" y="12811125"/>
          <a:ext cx="151447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31750">
          <a:solidFill>
            <a:srgbClr xmlns:mc="http://schemas.openxmlformats.org/markup-compatibility/2006" xmlns:a14="http://schemas.microsoft.com/office/drawing/2010/main" val="003300" mc:Ignorable="a14" a14:legacySpreadsheetColorIndex="58"/>
          </a:solidFill>
          <a:prstDash val="sysDot"/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支部選択</a:t>
          </a:r>
          <a:endParaRPr lang="ja-JP" altLang="en-US"/>
        </a:p>
      </xdr:txBody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11</xdr:col>
      <xdr:colOff>0</xdr:colOff>
      <xdr:row>139</xdr:row>
      <xdr:rowOff>25400</xdr:rowOff>
    </xdr:to>
    <xdr:pic>
      <xdr:nvPicPr>
        <xdr:cNvPr id="11310" name="Picture 11">
          <a:extLst>
            <a:ext uri="{FF2B5EF4-FFF2-40B4-BE49-F238E27FC236}">
              <a16:creationId xmlns:a16="http://schemas.microsoft.com/office/drawing/2014/main" id="{8F4ACA56-1221-1B40-52A1-1240012F7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0"/>
          <a:ext cx="6705600" cy="5638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133350</xdr:colOff>
      <xdr:row>109</xdr:row>
      <xdr:rowOff>41275</xdr:rowOff>
    </xdr:from>
    <xdr:to>
      <xdr:col>2</xdr:col>
      <xdr:colOff>257219</xdr:colOff>
      <xdr:row>111</xdr:row>
      <xdr:rowOff>107950</xdr:rowOff>
    </xdr:to>
    <xdr:sp macro="" textlink="">
      <xdr:nvSpPr>
        <xdr:cNvPr id="11276" name="Text Box 12">
          <a:extLst>
            <a:ext uri="{FF2B5EF4-FFF2-40B4-BE49-F238E27FC236}">
              <a16:creationId xmlns:a16="http://schemas.microsoft.com/office/drawing/2014/main" id="{6E586BFB-3478-003C-B51B-952C6A0E8F05}"/>
            </a:ext>
          </a:extLst>
        </xdr:cNvPr>
        <xdr:cNvSpPr txBox="1">
          <a:spLocks noChangeArrowheads="1"/>
        </xdr:cNvSpPr>
      </xdr:nvSpPr>
      <xdr:spPr bwMode="auto">
        <a:xfrm>
          <a:off x="152400" y="18735675"/>
          <a:ext cx="151447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31750">
          <a:solidFill>
            <a:srgbClr xmlns:mc="http://schemas.openxmlformats.org/markup-compatibility/2006" xmlns:a14="http://schemas.microsoft.com/office/drawing/2010/main" val="003300" mc:Ignorable="a14" a14:legacySpreadsheetColorIndex="58"/>
          </a:solidFill>
          <a:prstDash val="sysDot"/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SV選択</a:t>
          </a:r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908050</xdr:colOff>
      <xdr:row>0</xdr:row>
      <xdr:rowOff>0</xdr:rowOff>
    </xdr:from>
    <xdr:to>
      <xdr:col>8</xdr:col>
      <xdr:colOff>2349500</xdr:colOff>
      <xdr:row>0</xdr:row>
      <xdr:rowOff>311150</xdr:rowOff>
    </xdr:to>
    <xdr:pic>
      <xdr:nvPicPr>
        <xdr:cNvPr id="12323" name="Picture 1" descr="http://www.isid.co.jp/images/logo/0001.gif">
          <a:extLst>
            <a:ext uri="{FF2B5EF4-FFF2-40B4-BE49-F238E27FC236}">
              <a16:creationId xmlns:a16="http://schemas.microsoft.com/office/drawing/2014/main" id="{08605E7D-193D-18B5-F92C-2BAE4A355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7981950" y="0"/>
          <a:ext cx="14414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858440" cy="184666"/>
    <xdr:sp macro="" textlink="">
      <xdr:nvSpPr>
        <xdr:cNvPr id="12290" name="Text Box 2">
          <a:extLst>
            <a:ext uri="{FF2B5EF4-FFF2-40B4-BE49-F238E27FC236}">
              <a16:creationId xmlns:a16="http://schemas.microsoft.com/office/drawing/2014/main" id="{AA96A7C0-4B7D-DDAF-92DF-1806FB657E3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  <a:endParaRPr lang="ja-JP" altLang="en-US"/>
        </a:p>
      </xdr:txBody>
    </xdr:sp>
    <xdr:clientData/>
  </xdr:oneCellAnchor>
  <xdr:twoCellAnchor>
    <xdr:from>
      <xdr:col>6</xdr:col>
      <xdr:colOff>1997075</xdr:colOff>
      <xdr:row>1</xdr:row>
      <xdr:rowOff>9525</xdr:rowOff>
    </xdr:from>
    <xdr:to>
      <xdr:col>7</xdr:col>
      <xdr:colOff>409575</xdr:colOff>
      <xdr:row>2</xdr:row>
      <xdr:rowOff>3175</xdr:rowOff>
    </xdr:to>
    <xdr:sp macro="" textlink="">
      <xdr:nvSpPr>
        <xdr:cNvPr id="12291" name="Text Box 3">
          <a:extLst>
            <a:ext uri="{FF2B5EF4-FFF2-40B4-BE49-F238E27FC236}">
              <a16:creationId xmlns:a16="http://schemas.microsoft.com/office/drawing/2014/main" id="{C3471E13-E962-575F-7946-CE7EA808A856}"/>
            </a:ext>
          </a:extLst>
        </xdr:cNvPr>
        <xdr:cNvSpPr txBox="1">
          <a:spLocks noChangeArrowheads="1"/>
        </xdr:cNvSpPr>
      </xdr:nvSpPr>
      <xdr:spPr bwMode="auto">
        <a:xfrm>
          <a:off x="5324475" y="390525"/>
          <a:ext cx="19431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管理番号：DN-030103-019.01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分類　　　：要求仕様書</a:t>
          </a:r>
          <a:endParaRPr lang="ja-JP" altLang="en-US"/>
        </a:p>
      </xdr:txBody>
    </xdr:sp>
    <xdr:clientData/>
  </xdr:twoCellAnchor>
  <xdr:twoCellAnchor>
    <xdr:from>
      <xdr:col>8</xdr:col>
      <xdr:colOff>1047750</xdr:colOff>
      <xdr:row>1</xdr:row>
      <xdr:rowOff>9525</xdr:rowOff>
    </xdr:from>
    <xdr:to>
      <xdr:col>8</xdr:col>
      <xdr:colOff>2362200</xdr:colOff>
      <xdr:row>2</xdr:row>
      <xdr:rowOff>3175</xdr:rowOff>
    </xdr:to>
    <xdr:sp macro="" textlink="">
      <xdr:nvSpPr>
        <xdr:cNvPr id="12292" name="Text Box 4">
          <a:extLst>
            <a:ext uri="{FF2B5EF4-FFF2-40B4-BE49-F238E27FC236}">
              <a16:creationId xmlns:a16="http://schemas.microsoft.com/office/drawing/2014/main" id="{F7B40CC1-F8D2-18B7-C436-5DD089E03ACD}"/>
            </a:ext>
          </a:extLst>
        </xdr:cNvPr>
        <xdr:cNvSpPr txBox="1">
          <a:spLocks noChangeArrowheads="1"/>
        </xdr:cNvSpPr>
      </xdr:nvSpPr>
      <xdr:spPr bwMode="auto">
        <a:xfrm>
          <a:off x="8867775" y="390525"/>
          <a:ext cx="1428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作成者：ISID 加藤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作成日：2006/11/28</a:t>
          </a:r>
          <a:endParaRPr lang="ja-JP" altLang="en-US"/>
        </a:p>
      </xdr:txBody>
    </xdr:sp>
    <xdr:clientData/>
  </xdr:twoCellAnchor>
  <xdr:twoCellAnchor>
    <xdr:from>
      <xdr:col>7</xdr:col>
      <xdr:colOff>438150</xdr:colOff>
      <xdr:row>1</xdr:row>
      <xdr:rowOff>9525</xdr:rowOff>
    </xdr:from>
    <xdr:to>
      <xdr:col>8</xdr:col>
      <xdr:colOff>1070107</xdr:colOff>
      <xdr:row>2</xdr:row>
      <xdr:rowOff>3175</xdr:rowOff>
    </xdr:to>
    <xdr:sp macro="" textlink="">
      <xdr:nvSpPr>
        <xdr:cNvPr id="12293" name="Text Box 5">
          <a:extLst>
            <a:ext uri="{FF2B5EF4-FFF2-40B4-BE49-F238E27FC236}">
              <a16:creationId xmlns:a16="http://schemas.microsoft.com/office/drawing/2014/main" id="{18D4AE37-AFC0-CD2B-76FB-4362F3B16F30}"/>
            </a:ext>
          </a:extLst>
        </xdr:cNvPr>
        <xdr:cNvSpPr txBox="1">
          <a:spLocks noChangeArrowheads="1"/>
        </xdr:cNvSpPr>
      </xdr:nvSpPr>
      <xdr:spPr bwMode="auto">
        <a:xfrm>
          <a:off x="7296150" y="390525"/>
          <a:ext cx="1600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更新者：ISID 加藤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更新日：2006/11/28</a:t>
          </a:r>
          <a:endParaRPr lang="ja-JP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0</xdr:row>
      <xdr:rowOff>0</xdr:rowOff>
    </xdr:from>
    <xdr:to>
      <xdr:col>25</xdr:col>
      <xdr:colOff>323850</xdr:colOff>
      <xdr:row>0</xdr:row>
      <xdr:rowOff>311150</xdr:rowOff>
    </xdr:to>
    <xdr:pic>
      <xdr:nvPicPr>
        <xdr:cNvPr id="10629" name="Picture 1" descr="http://www.isid.co.jp/images/logo/0001.gif">
          <a:extLst>
            <a:ext uri="{FF2B5EF4-FFF2-40B4-BE49-F238E27FC236}">
              <a16:creationId xmlns:a16="http://schemas.microsoft.com/office/drawing/2014/main" id="{01670251-3B04-A38B-0631-E1292AEC2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28000" y="0"/>
          <a:ext cx="13906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858440" cy="184666"/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64258862-A591-6490-EA88-BAD50C1A9F3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  <a:endParaRPr lang="ja-JP" altLang="en-US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43</xdr:row>
          <xdr:rowOff>82550</xdr:rowOff>
        </xdr:from>
        <xdr:to>
          <xdr:col>5</xdr:col>
          <xdr:colOff>279400</xdr:colOff>
          <xdr:row>44</xdr:row>
          <xdr:rowOff>101600</xdr:rowOff>
        </xdr:to>
        <xdr:sp macro="" textlink="">
          <xdr:nvSpPr>
            <xdr:cNvPr id="10476" name="Drop Down 236" hidden="1">
              <a:extLst>
                <a:ext uri="{63B3BB69-23CF-44E3-9099-C40C66FF867C}">
                  <a14:compatExt spid="_x0000_s10476"/>
                </a:ext>
                <a:ext uri="{FF2B5EF4-FFF2-40B4-BE49-F238E27FC236}">
                  <a16:creationId xmlns:a16="http://schemas.microsoft.com/office/drawing/2014/main" id="{94D55851-6A20-D1F7-ACF4-5A978244D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50800</xdr:colOff>
      <xdr:row>43</xdr:row>
      <xdr:rowOff>66675</xdr:rowOff>
    </xdr:from>
    <xdr:to>
      <xdr:col>12</xdr:col>
      <xdr:colOff>345943</xdr:colOff>
      <xdr:row>44</xdr:row>
      <xdr:rowOff>104775</xdr:rowOff>
    </xdr:to>
    <xdr:sp macro="" textlink="">
      <xdr:nvSpPr>
        <xdr:cNvPr id="10481" name="AutoShape 241">
          <a:extLst>
            <a:ext uri="{FF2B5EF4-FFF2-40B4-BE49-F238E27FC236}">
              <a16:creationId xmlns:a16="http://schemas.microsoft.com/office/drawing/2014/main" id="{45F9F8CA-6C66-EF80-871B-3D55050037B6}"/>
            </a:ext>
          </a:extLst>
        </xdr:cNvPr>
        <xdr:cNvSpPr>
          <a:spLocks noChangeArrowheads="1"/>
        </xdr:cNvSpPr>
      </xdr:nvSpPr>
      <xdr:spPr bwMode="auto">
        <a:xfrm>
          <a:off x="4848225" y="7848600"/>
          <a:ext cx="314325" cy="209550"/>
        </a:xfrm>
        <a:prstGeom prst="roundRect">
          <a:avLst>
            <a:gd name="adj" fmla="val 16667"/>
          </a:avLst>
        </a:prstGeom>
        <a:solidFill>
          <a:srgbClr val="F9F9F9"/>
        </a:solidFill>
        <a:ln w="635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実行</a:t>
          </a:r>
          <a:endParaRPr lang="ja-JP" altLang="en-US"/>
        </a:p>
      </xdr:txBody>
    </xdr: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95250</xdr:colOff>
      <xdr:row>98</xdr:row>
      <xdr:rowOff>0</xdr:rowOff>
    </xdr:to>
    <xdr:sp macro="" textlink="">
      <xdr:nvSpPr>
        <xdr:cNvPr id="10632" name="Rectangle 273">
          <a:extLst>
            <a:ext uri="{FF2B5EF4-FFF2-40B4-BE49-F238E27FC236}">
              <a16:creationId xmlns:a16="http://schemas.microsoft.com/office/drawing/2014/main" id="{EC3D1760-7767-FC4D-C08E-FAF687151C19}"/>
            </a:ext>
          </a:extLst>
        </xdr:cNvPr>
        <xdr:cNvSpPr>
          <a:spLocks noChangeArrowheads="1"/>
        </xdr:cNvSpPr>
      </xdr:nvSpPr>
      <xdr:spPr bwMode="auto">
        <a:xfrm>
          <a:off x="5880100" y="14827250"/>
          <a:ext cx="95250" cy="1835150"/>
        </a:xfrm>
        <a:prstGeom prst="rect">
          <a:avLst/>
        </a:prstGeom>
        <a:solidFill>
          <a:srgbClr val="F5F5F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97</xdr:row>
      <xdr:rowOff>41275</xdr:rowOff>
    </xdr:from>
    <xdr:to>
      <xdr:col>16</xdr:col>
      <xdr:colOff>92449</xdr:colOff>
      <xdr:row>98</xdr:row>
      <xdr:rowOff>135</xdr:rowOff>
    </xdr:to>
    <xdr:sp macro="" textlink="">
      <xdr:nvSpPr>
        <xdr:cNvPr id="10514" name="Text Box 274">
          <a:extLst>
            <a:ext uri="{FF2B5EF4-FFF2-40B4-BE49-F238E27FC236}">
              <a16:creationId xmlns:a16="http://schemas.microsoft.com/office/drawing/2014/main" id="{E821ED44-B70C-7A48-E0DE-AF4D3A549AEA}"/>
            </a:ext>
          </a:extLst>
        </xdr:cNvPr>
        <xdr:cNvSpPr txBox="1">
          <a:spLocks noChangeArrowheads="1"/>
        </xdr:cNvSpPr>
      </xdr:nvSpPr>
      <xdr:spPr bwMode="auto">
        <a:xfrm>
          <a:off x="6391275" y="17087850"/>
          <a:ext cx="104775" cy="12382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xmlns:mc="http://schemas.openxmlformats.org/markup-compatibility/2006" xmlns:a14="http://schemas.microsoft.com/office/drawing/2010/main" val="3366FF" mc:Ignorable="a14" a14:legacySpreadsheetColorIndex="48"/>
            </a:gs>
          </a:gsLst>
          <a:lin ang="540000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&gt;</a:t>
          </a:r>
          <a:endParaRPr lang="ja-JP" altLang="en-US"/>
        </a:p>
      </xdr:txBody>
    </xdr: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92449</xdr:colOff>
      <xdr:row>87</xdr:row>
      <xdr:rowOff>79602</xdr:rowOff>
    </xdr:to>
    <xdr:sp macro="" textlink="">
      <xdr:nvSpPr>
        <xdr:cNvPr id="10515" name="Text Box 275">
          <a:extLst>
            <a:ext uri="{FF2B5EF4-FFF2-40B4-BE49-F238E27FC236}">
              <a16:creationId xmlns:a16="http://schemas.microsoft.com/office/drawing/2014/main" id="{4F35762C-ABF1-34DB-7510-3BFB7288ACB2}"/>
            </a:ext>
          </a:extLst>
        </xdr:cNvPr>
        <xdr:cNvSpPr txBox="1">
          <a:spLocks noChangeArrowheads="1"/>
        </xdr:cNvSpPr>
      </xdr:nvSpPr>
      <xdr:spPr bwMode="auto">
        <a:xfrm>
          <a:off x="6391275" y="15325725"/>
          <a:ext cx="104775" cy="8572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xmlns:mc="http://schemas.openxmlformats.org/markup-compatibility/2006" xmlns:a14="http://schemas.microsoft.com/office/drawing/2010/main" val="3366FF" mc:Ignorable="a14" a14:legacySpreadsheetColorIndex="48"/>
            </a:gs>
          </a:gsLst>
          <a:lin ang="540000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&lt;</a:t>
          </a:r>
          <a:endParaRPr lang="ja-JP" altLang="en-US"/>
        </a:p>
      </xdr:txBody>
    </xdr:sp>
    <xdr:clientData/>
  </xdr:twoCellAnchor>
  <xdr:twoCellAnchor>
    <xdr:from>
      <xdr:col>16</xdr:col>
      <xdr:colOff>0</xdr:colOff>
      <xdr:row>87</xdr:row>
      <xdr:rowOff>88900</xdr:rowOff>
    </xdr:from>
    <xdr:to>
      <xdr:col>16</xdr:col>
      <xdr:colOff>92449</xdr:colOff>
      <xdr:row>92</xdr:row>
      <xdr:rowOff>130183</xdr:rowOff>
    </xdr:to>
    <xdr:sp macro="" textlink="">
      <xdr:nvSpPr>
        <xdr:cNvPr id="10516" name="Text Box 276">
          <a:extLst>
            <a:ext uri="{FF2B5EF4-FFF2-40B4-BE49-F238E27FC236}">
              <a16:creationId xmlns:a16="http://schemas.microsoft.com/office/drawing/2014/main" id="{E97C0946-3A7D-DD6B-0A73-52DDD68761F6}"/>
            </a:ext>
          </a:extLst>
        </xdr:cNvPr>
        <xdr:cNvSpPr txBox="1">
          <a:spLocks noChangeArrowheads="1"/>
        </xdr:cNvSpPr>
      </xdr:nvSpPr>
      <xdr:spPr bwMode="auto">
        <a:xfrm>
          <a:off x="6391275" y="15420975"/>
          <a:ext cx="104775" cy="88582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xmlns:mc="http://schemas.openxmlformats.org/markup-compatibility/2006" xmlns:a14="http://schemas.microsoft.com/office/drawing/2010/main" val="3366FF" mc:Ignorable="a14" a14:legacySpreadsheetColorIndex="48"/>
            </a:gs>
          </a:gsLst>
          <a:path path="shape">
            <a:fillToRect l="50000" t="50000" r="50000" b="50000"/>
          </a:path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18</xdr:col>
      <xdr:colOff>92075</xdr:colOff>
      <xdr:row>77</xdr:row>
      <xdr:rowOff>60325</xdr:rowOff>
    </xdr:from>
    <xdr:to>
      <xdr:col>20</xdr:col>
      <xdr:colOff>225425</xdr:colOff>
      <xdr:row>78</xdr:row>
      <xdr:rowOff>98425</xdr:rowOff>
    </xdr:to>
    <xdr:sp macro="" textlink="">
      <xdr:nvSpPr>
        <xdr:cNvPr id="10528" name="AutoShape 288">
          <a:extLst>
            <a:ext uri="{FF2B5EF4-FFF2-40B4-BE49-F238E27FC236}">
              <a16:creationId xmlns:a16="http://schemas.microsoft.com/office/drawing/2014/main" id="{7463525D-7F1C-1605-FC1B-93E01A69FD1C}"/>
            </a:ext>
          </a:extLst>
        </xdr:cNvPr>
        <xdr:cNvSpPr>
          <a:spLocks noChangeArrowheads="1"/>
        </xdr:cNvSpPr>
      </xdr:nvSpPr>
      <xdr:spPr bwMode="auto">
        <a:xfrm>
          <a:off x="7296150" y="13677900"/>
          <a:ext cx="933450" cy="209550"/>
        </a:xfrm>
        <a:prstGeom prst="roundRect">
          <a:avLst>
            <a:gd name="adj" fmla="val 16667"/>
          </a:avLst>
        </a:prstGeom>
        <a:solidFill>
          <a:srgbClr val="F9F9F9"/>
        </a:solidFill>
        <a:ln w="635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44450</xdr:colOff>
          <xdr:row>77</xdr:row>
          <xdr:rowOff>76200</xdr:rowOff>
        </xdr:from>
        <xdr:to>
          <xdr:col>17</xdr:col>
          <xdr:colOff>317500</xdr:colOff>
          <xdr:row>78</xdr:row>
          <xdr:rowOff>101600</xdr:rowOff>
        </xdr:to>
        <xdr:sp macro="" textlink="">
          <xdr:nvSpPr>
            <xdr:cNvPr id="10534" name="Drop Down 294" hidden="1">
              <a:extLst>
                <a:ext uri="{63B3BB69-23CF-44E3-9099-C40C66FF867C}">
                  <a14:compatExt spid="_x0000_s10534"/>
                </a:ext>
                <a:ext uri="{FF2B5EF4-FFF2-40B4-BE49-F238E27FC236}">
                  <a16:creationId xmlns:a16="http://schemas.microsoft.com/office/drawing/2014/main" id="{2E4838E1-E3BC-20D2-B9A1-3F6765E1EF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77</xdr:row>
          <xdr:rowOff>82550</xdr:rowOff>
        </xdr:from>
        <xdr:to>
          <xdr:col>5</xdr:col>
          <xdr:colOff>279400</xdr:colOff>
          <xdr:row>78</xdr:row>
          <xdr:rowOff>101600</xdr:rowOff>
        </xdr:to>
        <xdr:sp macro="" textlink="">
          <xdr:nvSpPr>
            <xdr:cNvPr id="10542" name="Drop Down 302" hidden="1">
              <a:extLst>
                <a:ext uri="{63B3BB69-23CF-44E3-9099-C40C66FF867C}">
                  <a14:compatExt spid="_x0000_s10542"/>
                </a:ext>
                <a:ext uri="{FF2B5EF4-FFF2-40B4-BE49-F238E27FC236}">
                  <a16:creationId xmlns:a16="http://schemas.microsoft.com/office/drawing/2014/main" id="{CE9D95CF-1BE0-990C-1C24-241D22627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20</xdr:col>
      <xdr:colOff>0</xdr:colOff>
      <xdr:row>11</xdr:row>
      <xdr:rowOff>0</xdr:rowOff>
    </xdr:from>
    <xdr:to>
      <xdr:col>20</xdr:col>
      <xdr:colOff>95250</xdr:colOff>
      <xdr:row>17</xdr:row>
      <xdr:rowOff>0</xdr:rowOff>
    </xdr:to>
    <xdr:sp macro="" textlink="">
      <xdr:nvSpPr>
        <xdr:cNvPr id="10637" name="Rectangle 321">
          <a:extLst>
            <a:ext uri="{FF2B5EF4-FFF2-40B4-BE49-F238E27FC236}">
              <a16:creationId xmlns:a16="http://schemas.microsoft.com/office/drawing/2014/main" id="{47896E08-1D6C-572E-C39B-BEA05171DD6A}"/>
            </a:ext>
          </a:extLst>
        </xdr:cNvPr>
        <xdr:cNvSpPr>
          <a:spLocks noChangeArrowheads="1"/>
        </xdr:cNvSpPr>
      </xdr:nvSpPr>
      <xdr:spPr bwMode="auto">
        <a:xfrm>
          <a:off x="7353300" y="2241550"/>
          <a:ext cx="95250" cy="990600"/>
        </a:xfrm>
        <a:prstGeom prst="rect">
          <a:avLst/>
        </a:prstGeom>
        <a:solidFill>
          <a:srgbClr val="F5F5F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16</xdr:row>
      <xdr:rowOff>41275</xdr:rowOff>
    </xdr:from>
    <xdr:to>
      <xdr:col>20</xdr:col>
      <xdr:colOff>98227</xdr:colOff>
      <xdr:row>17</xdr:row>
      <xdr:rowOff>135</xdr:rowOff>
    </xdr:to>
    <xdr:sp macro="" textlink="">
      <xdr:nvSpPr>
        <xdr:cNvPr id="10562" name="Text Box 322">
          <a:extLst>
            <a:ext uri="{FF2B5EF4-FFF2-40B4-BE49-F238E27FC236}">
              <a16:creationId xmlns:a16="http://schemas.microsoft.com/office/drawing/2014/main" id="{9FB0FF1A-DD83-C528-F4D1-B0B18732D48F}"/>
            </a:ext>
          </a:extLst>
        </xdr:cNvPr>
        <xdr:cNvSpPr txBox="1">
          <a:spLocks noChangeArrowheads="1"/>
        </xdr:cNvSpPr>
      </xdr:nvSpPr>
      <xdr:spPr bwMode="auto">
        <a:xfrm>
          <a:off x="7991475" y="3200400"/>
          <a:ext cx="104775" cy="12382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xmlns:mc="http://schemas.openxmlformats.org/markup-compatibility/2006" xmlns:a14="http://schemas.microsoft.com/office/drawing/2010/main" val="3366FF" mc:Ignorable="a14" a14:legacySpreadsheetColorIndex="48"/>
            </a:gs>
          </a:gsLst>
          <a:lin ang="540000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&gt;</a:t>
          </a:r>
          <a:endParaRPr lang="ja-JP" altLang="en-US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98227</xdr:colOff>
      <xdr:row>11</xdr:row>
      <xdr:rowOff>85725</xdr:rowOff>
    </xdr:to>
    <xdr:sp macro="" textlink="">
      <xdr:nvSpPr>
        <xdr:cNvPr id="10563" name="Text Box 323">
          <a:extLst>
            <a:ext uri="{FF2B5EF4-FFF2-40B4-BE49-F238E27FC236}">
              <a16:creationId xmlns:a16="http://schemas.microsoft.com/office/drawing/2014/main" id="{AF7D542F-46F1-899A-C5A4-78393B81B03C}"/>
            </a:ext>
          </a:extLst>
        </xdr:cNvPr>
        <xdr:cNvSpPr txBox="1">
          <a:spLocks noChangeArrowheads="1"/>
        </xdr:cNvSpPr>
      </xdr:nvSpPr>
      <xdr:spPr bwMode="auto">
        <a:xfrm>
          <a:off x="7991475" y="2295525"/>
          <a:ext cx="104775" cy="85725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xmlns:mc="http://schemas.openxmlformats.org/markup-compatibility/2006" xmlns:a14="http://schemas.microsoft.com/office/drawing/2010/main" val="3366FF" mc:Ignorable="a14" a14:legacySpreadsheetColorIndex="48"/>
            </a:gs>
          </a:gsLst>
          <a:lin ang="540000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&lt;</a:t>
          </a:r>
          <a:endParaRPr lang="ja-JP" altLang="en-US"/>
        </a:p>
      </xdr:txBody>
    </xdr:sp>
    <xdr:clientData/>
  </xdr:twoCellAnchor>
  <xdr:twoCellAnchor>
    <xdr:from>
      <xdr:col>20</xdr:col>
      <xdr:colOff>0</xdr:colOff>
      <xdr:row>11</xdr:row>
      <xdr:rowOff>85725</xdr:rowOff>
    </xdr:from>
    <xdr:to>
      <xdr:col>20</xdr:col>
      <xdr:colOff>98227</xdr:colOff>
      <xdr:row>15</xdr:row>
      <xdr:rowOff>98453</xdr:rowOff>
    </xdr:to>
    <xdr:sp macro="" textlink="">
      <xdr:nvSpPr>
        <xdr:cNvPr id="10564" name="Text Box 324">
          <a:extLst>
            <a:ext uri="{FF2B5EF4-FFF2-40B4-BE49-F238E27FC236}">
              <a16:creationId xmlns:a16="http://schemas.microsoft.com/office/drawing/2014/main" id="{3450C221-523F-9C15-DCE1-3CDC438643B1}"/>
            </a:ext>
          </a:extLst>
        </xdr:cNvPr>
        <xdr:cNvSpPr txBox="1">
          <a:spLocks noChangeArrowheads="1"/>
        </xdr:cNvSpPr>
      </xdr:nvSpPr>
      <xdr:spPr bwMode="auto">
        <a:xfrm>
          <a:off x="7991475" y="2381250"/>
          <a:ext cx="104775" cy="704850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xmlns:mc="http://schemas.openxmlformats.org/markup-compatibility/2006" xmlns:a14="http://schemas.microsoft.com/office/drawing/2010/main" val="3366FF" mc:Ignorable="a14" a14:legacySpreadsheetColorIndex="48"/>
            </a:gs>
          </a:gsLst>
          <a:path path="shape">
            <a:fillToRect l="50000" t="50000" r="50000" b="50000"/>
          </a:path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43</xdr:row>
          <xdr:rowOff>82550</xdr:rowOff>
        </xdr:from>
        <xdr:to>
          <xdr:col>11</xdr:col>
          <xdr:colOff>279400</xdr:colOff>
          <xdr:row>44</xdr:row>
          <xdr:rowOff>101600</xdr:rowOff>
        </xdr:to>
        <xdr:sp macro="" textlink="">
          <xdr:nvSpPr>
            <xdr:cNvPr id="10566" name="Drop Down 326" hidden="1">
              <a:extLst>
                <a:ext uri="{63B3BB69-23CF-44E3-9099-C40C66FF867C}">
                  <a14:compatExt spid="_x0000_s10566"/>
                </a:ext>
                <a:ext uri="{FF2B5EF4-FFF2-40B4-BE49-F238E27FC236}">
                  <a16:creationId xmlns:a16="http://schemas.microsoft.com/office/drawing/2014/main" id="{869132B8-2A40-15A6-01BE-80C3992AA0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77</xdr:row>
          <xdr:rowOff>82550</xdr:rowOff>
        </xdr:from>
        <xdr:to>
          <xdr:col>11</xdr:col>
          <xdr:colOff>279400</xdr:colOff>
          <xdr:row>78</xdr:row>
          <xdr:rowOff>101600</xdr:rowOff>
        </xdr:to>
        <xdr:sp macro="" textlink="">
          <xdr:nvSpPr>
            <xdr:cNvPr id="10569" name="Drop Down 329" hidden="1">
              <a:extLst>
                <a:ext uri="{63B3BB69-23CF-44E3-9099-C40C66FF867C}">
                  <a14:compatExt spid="_x0000_s10569"/>
                </a:ext>
                <a:ext uri="{FF2B5EF4-FFF2-40B4-BE49-F238E27FC236}">
                  <a16:creationId xmlns:a16="http://schemas.microsoft.com/office/drawing/2014/main" id="{0B9D427A-4096-BB86-DE66-6DE0C593EC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79375</xdr:colOff>
      <xdr:row>77</xdr:row>
      <xdr:rowOff>76200</xdr:rowOff>
    </xdr:from>
    <xdr:to>
      <xdr:col>13</xdr:col>
      <xdr:colOff>250901</xdr:colOff>
      <xdr:row>78</xdr:row>
      <xdr:rowOff>98552</xdr:rowOff>
    </xdr:to>
    <xdr:sp macro="" textlink="">
      <xdr:nvSpPr>
        <xdr:cNvPr id="10570" name="AutoShape 330">
          <a:extLst>
            <a:ext uri="{FF2B5EF4-FFF2-40B4-BE49-F238E27FC236}">
              <a16:creationId xmlns:a16="http://schemas.microsoft.com/office/drawing/2014/main" id="{FAF9FB20-47DA-AB2F-17C0-76561BFD2874}"/>
            </a:ext>
          </a:extLst>
        </xdr:cNvPr>
        <xdr:cNvSpPr>
          <a:spLocks noChangeArrowheads="1"/>
        </xdr:cNvSpPr>
      </xdr:nvSpPr>
      <xdr:spPr bwMode="auto">
        <a:xfrm>
          <a:off x="4876800" y="13687425"/>
          <a:ext cx="590550" cy="200025"/>
        </a:xfrm>
        <a:prstGeom prst="roundRect">
          <a:avLst>
            <a:gd name="adj" fmla="val 16667"/>
          </a:avLst>
        </a:prstGeom>
        <a:solidFill>
          <a:srgbClr val="F9F9F9"/>
        </a:solidFill>
        <a:ln w="635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再検索</a:t>
          </a:r>
          <a:endParaRPr lang="ja-JP" altLang="en-US"/>
        </a:p>
      </xdr:txBody>
    </xdr:sp>
    <xdr:clientData/>
  </xdr:twoCellAnchor>
  <xdr:twoCellAnchor editAs="oneCell">
    <xdr:from>
      <xdr:col>17</xdr:col>
      <xdr:colOff>98425</xdr:colOff>
      <xdr:row>43</xdr:row>
      <xdr:rowOff>66675</xdr:rowOff>
    </xdr:from>
    <xdr:to>
      <xdr:col>19</xdr:col>
      <xdr:colOff>219140</xdr:colOff>
      <xdr:row>44</xdr:row>
      <xdr:rowOff>104775</xdr:rowOff>
    </xdr:to>
    <xdr:sp macro="" textlink="">
      <xdr:nvSpPr>
        <xdr:cNvPr id="10571" name="AutoShape 331">
          <a:extLst>
            <a:ext uri="{FF2B5EF4-FFF2-40B4-BE49-F238E27FC236}">
              <a16:creationId xmlns:a16="http://schemas.microsoft.com/office/drawing/2014/main" id="{16B6A592-0723-D462-9E68-C3F1E39F8A89}"/>
            </a:ext>
          </a:extLst>
        </xdr:cNvPr>
        <xdr:cNvSpPr>
          <a:spLocks noChangeArrowheads="1"/>
        </xdr:cNvSpPr>
      </xdr:nvSpPr>
      <xdr:spPr bwMode="auto">
        <a:xfrm>
          <a:off x="6896100" y="7848600"/>
          <a:ext cx="933450" cy="209550"/>
        </a:xfrm>
        <a:prstGeom prst="roundRect">
          <a:avLst>
            <a:gd name="adj" fmla="val 16667"/>
          </a:avLst>
        </a:prstGeom>
        <a:solidFill>
          <a:srgbClr val="F9F9F9"/>
        </a:solidFill>
        <a:ln w="635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44450</xdr:colOff>
          <xdr:row>43</xdr:row>
          <xdr:rowOff>76200</xdr:rowOff>
        </xdr:from>
        <xdr:to>
          <xdr:col>16</xdr:col>
          <xdr:colOff>317500</xdr:colOff>
          <xdr:row>44</xdr:row>
          <xdr:rowOff>101600</xdr:rowOff>
        </xdr:to>
        <xdr:sp macro="" textlink="">
          <xdr:nvSpPr>
            <xdr:cNvPr id="10572" name="Drop Down 332" hidden="1">
              <a:extLst>
                <a:ext uri="{63B3BB69-23CF-44E3-9099-C40C66FF867C}">
                  <a14:compatExt spid="_x0000_s10572"/>
                </a:ext>
                <a:ext uri="{FF2B5EF4-FFF2-40B4-BE49-F238E27FC236}">
                  <a16:creationId xmlns:a16="http://schemas.microsoft.com/office/drawing/2014/main" id="{DB18AFEE-AA2F-C977-0941-37EEA29A14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8440" cy="184666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B84F1B4-8EEE-47E2-3D75-C64CB58B56E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  <a:endParaRPr lang="ja-JP" altLang="en-US"/>
        </a:p>
      </xdr:txBody>
    </xdr:sp>
    <xdr:clientData/>
  </xdr:oneCellAnchor>
  <xdr:twoCellAnchor>
    <xdr:from>
      <xdr:col>22</xdr:col>
      <xdr:colOff>25400</xdr:colOff>
      <xdr:row>0</xdr:row>
      <xdr:rowOff>0</xdr:rowOff>
    </xdr:from>
    <xdr:to>
      <xdr:col>25</xdr:col>
      <xdr:colOff>317500</xdr:colOff>
      <xdr:row>0</xdr:row>
      <xdr:rowOff>311150</xdr:rowOff>
    </xdr:to>
    <xdr:pic>
      <xdr:nvPicPr>
        <xdr:cNvPr id="1415" name="Picture 2" descr="http://www.isid.co.jp/images/logo/0001.gif">
          <a:extLst>
            <a:ext uri="{FF2B5EF4-FFF2-40B4-BE49-F238E27FC236}">
              <a16:creationId xmlns:a16="http://schemas.microsoft.com/office/drawing/2014/main" id="{10E1D371-C866-E31C-939D-112A41383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509000" y="0"/>
          <a:ext cx="13970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14</xdr:row>
      <xdr:rowOff>0</xdr:rowOff>
    </xdr:from>
    <xdr:to>
      <xdr:col>3</xdr:col>
      <xdr:colOff>209512</xdr:colOff>
      <xdr:row>16</xdr:row>
      <xdr:rowOff>155553</xdr:rowOff>
    </xdr:to>
    <xdr:sp macro="" textlink="">
      <xdr:nvSpPr>
        <xdr:cNvPr id="1127" name="Text Box 103">
          <a:extLst>
            <a:ext uri="{FF2B5EF4-FFF2-40B4-BE49-F238E27FC236}">
              <a16:creationId xmlns:a16="http://schemas.microsoft.com/office/drawing/2014/main" id="{15D764E4-6713-1B2F-BECE-93AF3C9DEE5D}"/>
            </a:ext>
          </a:extLst>
        </xdr:cNvPr>
        <xdr:cNvSpPr txBox="1">
          <a:spLocks noChangeArrowheads="1"/>
        </xdr:cNvSpPr>
      </xdr:nvSpPr>
      <xdr:spPr bwMode="auto">
        <a:xfrm>
          <a:off x="419100" y="2809875"/>
          <a:ext cx="1009650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条件画面</a:t>
          </a:r>
          <a:endParaRPr lang="ja-JP" altLang="en-US"/>
        </a:p>
      </xdr:txBody>
    </xdr:sp>
    <xdr:clientData/>
  </xdr:twoCellAnchor>
  <xdr:twoCellAnchor>
    <xdr:from>
      <xdr:col>1</xdr:col>
      <xdr:colOff>9525</xdr:colOff>
      <xdr:row>22</xdr:row>
      <xdr:rowOff>76200</xdr:rowOff>
    </xdr:from>
    <xdr:to>
      <xdr:col>3</xdr:col>
      <xdr:colOff>190527</xdr:colOff>
      <xdr:row>25</xdr:row>
      <xdr:rowOff>38100</xdr:rowOff>
    </xdr:to>
    <xdr:sp macro="" textlink="">
      <xdr:nvSpPr>
        <xdr:cNvPr id="1128" name="Text Box 104">
          <a:extLst>
            <a:ext uri="{FF2B5EF4-FFF2-40B4-BE49-F238E27FC236}">
              <a16:creationId xmlns:a16="http://schemas.microsoft.com/office/drawing/2014/main" id="{957F8E2A-D4A6-5E56-3F42-4DBF589F2130}"/>
            </a:ext>
          </a:extLst>
        </xdr:cNvPr>
        <xdr:cNvSpPr txBox="1">
          <a:spLocks noChangeArrowheads="1"/>
        </xdr:cNvSpPr>
      </xdr:nvSpPr>
      <xdr:spPr bwMode="auto">
        <a:xfrm>
          <a:off x="409575" y="4257675"/>
          <a:ext cx="1000125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照会画面</a:t>
          </a:r>
          <a:endParaRPr lang="ja-JP" altLang="en-US"/>
        </a:p>
      </xdr:txBody>
    </xdr:sp>
    <xdr:clientData/>
  </xdr:twoCellAnchor>
  <xdr:twoCellAnchor>
    <xdr:from>
      <xdr:col>9</xdr:col>
      <xdr:colOff>276225</xdr:colOff>
      <xdr:row>10</xdr:row>
      <xdr:rowOff>98425</xdr:rowOff>
    </xdr:from>
    <xdr:to>
      <xdr:col>13</xdr:col>
      <xdr:colOff>60286</xdr:colOff>
      <xdr:row>12</xdr:row>
      <xdr:rowOff>123915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A3028DE8-0801-361F-18DB-465F29A8880A}"/>
            </a:ext>
          </a:extLst>
        </xdr:cNvPr>
        <xdr:cNvSpPr txBox="1">
          <a:spLocks noChangeArrowheads="1"/>
        </xdr:cNvSpPr>
      </xdr:nvSpPr>
      <xdr:spPr bwMode="auto">
        <a:xfrm>
          <a:off x="3895725" y="2228850"/>
          <a:ext cx="1362075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条件項目情報の取得</a:t>
          </a:r>
          <a:endParaRPr lang="ja-JP" altLang="en-US"/>
        </a:p>
      </xdr:txBody>
    </xdr:sp>
    <xdr:clientData/>
  </xdr:twoCellAnchor>
  <xdr:twoCellAnchor>
    <xdr:from>
      <xdr:col>9</xdr:col>
      <xdr:colOff>247650</xdr:colOff>
      <xdr:row>26</xdr:row>
      <xdr:rowOff>41275</xdr:rowOff>
    </xdr:from>
    <xdr:to>
      <xdr:col>13</xdr:col>
      <xdr:colOff>69876</xdr:colOff>
      <xdr:row>28</xdr:row>
      <xdr:rowOff>66765</xdr:rowOff>
    </xdr:to>
    <xdr:sp macro="" textlink="">
      <xdr:nvSpPr>
        <xdr:cNvPr id="1130" name="Text Box 106">
          <a:extLst>
            <a:ext uri="{FF2B5EF4-FFF2-40B4-BE49-F238E27FC236}">
              <a16:creationId xmlns:a16="http://schemas.microsoft.com/office/drawing/2014/main" id="{E1AC31D0-AE87-DFA7-4F85-98C486C31145}"/>
            </a:ext>
          </a:extLst>
        </xdr:cNvPr>
        <xdr:cNvSpPr txBox="1">
          <a:spLocks noChangeArrowheads="1"/>
        </xdr:cNvSpPr>
      </xdr:nvSpPr>
      <xdr:spPr bwMode="auto">
        <a:xfrm>
          <a:off x="3867150" y="4914900"/>
          <a:ext cx="1400175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検索対象情報取得</a:t>
          </a:r>
          <a:endParaRPr lang="ja-JP" altLang="en-US"/>
        </a:p>
      </xdr:txBody>
    </xdr:sp>
    <xdr:clientData/>
  </xdr:twoCellAnchor>
  <xdr:twoCellAnchor>
    <xdr:from>
      <xdr:col>14</xdr:col>
      <xdr:colOff>38100</xdr:colOff>
      <xdr:row>10</xdr:row>
      <xdr:rowOff>79375</xdr:rowOff>
    </xdr:from>
    <xdr:to>
      <xdr:col>17</xdr:col>
      <xdr:colOff>168246</xdr:colOff>
      <xdr:row>12</xdr:row>
      <xdr:rowOff>142956</xdr:rowOff>
    </xdr:to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06E74CCB-CE97-8E94-57B9-EA3019F38204}"/>
            </a:ext>
          </a:extLst>
        </xdr:cNvPr>
        <xdr:cNvSpPr txBox="1">
          <a:spLocks noChangeArrowheads="1"/>
        </xdr:cNvSpPr>
      </xdr:nvSpPr>
      <xdr:spPr bwMode="auto">
        <a:xfrm>
          <a:off x="5629275" y="2209800"/>
          <a:ext cx="134302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対象エントリー情報</a:t>
          </a:r>
          <a:endParaRPr lang="ja-JP" altLang="en-US"/>
        </a:p>
      </xdr:txBody>
    </xdr:sp>
    <xdr:clientData/>
  </xdr:twoCellAnchor>
  <xdr:twoCellAnchor>
    <xdr:from>
      <xdr:col>3</xdr:col>
      <xdr:colOff>209550</xdr:colOff>
      <xdr:row>15</xdr:row>
      <xdr:rowOff>82550</xdr:rowOff>
    </xdr:from>
    <xdr:to>
      <xdr:col>4</xdr:col>
      <xdr:colOff>330200</xdr:colOff>
      <xdr:row>16</xdr:row>
      <xdr:rowOff>107950</xdr:rowOff>
    </xdr:to>
    <xdr:cxnSp macro="">
      <xdr:nvCxnSpPr>
        <xdr:cNvPr id="1421" name="AutoShape 108">
          <a:extLst>
            <a:ext uri="{FF2B5EF4-FFF2-40B4-BE49-F238E27FC236}">
              <a16:creationId xmlns:a16="http://schemas.microsoft.com/office/drawing/2014/main" id="{CC8038EE-0A89-C420-A392-ED74FBCDAD44}"/>
            </a:ext>
          </a:extLst>
        </xdr:cNvPr>
        <xdr:cNvCxnSpPr>
          <a:cxnSpLocks noChangeShapeType="1"/>
          <a:stCxn id="1154" idx="1"/>
          <a:endCxn id="1127" idx="3"/>
        </xdr:cNvCxnSpPr>
      </xdr:nvCxnSpPr>
      <xdr:spPr bwMode="auto">
        <a:xfrm flipH="1" flipV="1">
          <a:off x="1314450" y="2984500"/>
          <a:ext cx="488950" cy="1905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209550</xdr:colOff>
      <xdr:row>15</xdr:row>
      <xdr:rowOff>76200</xdr:rowOff>
    </xdr:from>
    <xdr:to>
      <xdr:col>4</xdr:col>
      <xdr:colOff>330200</xdr:colOff>
      <xdr:row>15</xdr:row>
      <xdr:rowOff>82550</xdr:rowOff>
    </xdr:to>
    <xdr:cxnSp macro="">
      <xdr:nvCxnSpPr>
        <xdr:cNvPr id="1422" name="AutoShape 109">
          <a:extLst>
            <a:ext uri="{FF2B5EF4-FFF2-40B4-BE49-F238E27FC236}">
              <a16:creationId xmlns:a16="http://schemas.microsoft.com/office/drawing/2014/main" id="{0853B5CC-7D88-AE62-FA70-300B8EC1F750}"/>
            </a:ext>
          </a:extLst>
        </xdr:cNvPr>
        <xdr:cNvCxnSpPr>
          <a:cxnSpLocks noChangeShapeType="1"/>
          <a:stCxn id="1156" idx="1"/>
          <a:endCxn id="1127" idx="3"/>
        </xdr:cNvCxnSpPr>
      </xdr:nvCxnSpPr>
      <xdr:spPr bwMode="auto">
        <a:xfrm flipH="1">
          <a:off x="1314450" y="2978150"/>
          <a:ext cx="488950" cy="63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CC99FF" mc:Ignorable="a14" a14:legacySpreadsheetColorIndex="46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190500</xdr:colOff>
      <xdr:row>17</xdr:row>
      <xdr:rowOff>127000</xdr:rowOff>
    </xdr:from>
    <xdr:to>
      <xdr:col>4</xdr:col>
      <xdr:colOff>330200</xdr:colOff>
      <xdr:row>23</xdr:row>
      <xdr:rowOff>139700</xdr:rowOff>
    </xdr:to>
    <xdr:cxnSp macro="">
      <xdr:nvCxnSpPr>
        <xdr:cNvPr id="1423" name="AutoShape 110">
          <a:extLst>
            <a:ext uri="{FF2B5EF4-FFF2-40B4-BE49-F238E27FC236}">
              <a16:creationId xmlns:a16="http://schemas.microsoft.com/office/drawing/2014/main" id="{5C0812D7-C8E9-F4D3-A093-4FBC21E6722D}"/>
            </a:ext>
          </a:extLst>
        </xdr:cNvPr>
        <xdr:cNvCxnSpPr>
          <a:cxnSpLocks noChangeShapeType="1"/>
          <a:stCxn id="1155" idx="1"/>
          <a:endCxn id="1128" idx="3"/>
        </xdr:cNvCxnSpPr>
      </xdr:nvCxnSpPr>
      <xdr:spPr bwMode="auto">
        <a:xfrm flipH="1">
          <a:off x="1295400" y="3359150"/>
          <a:ext cx="508000" cy="10033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190500</xdr:colOff>
      <xdr:row>23</xdr:row>
      <xdr:rowOff>127000</xdr:rowOff>
    </xdr:from>
    <xdr:to>
      <xdr:col>4</xdr:col>
      <xdr:colOff>330200</xdr:colOff>
      <xdr:row>23</xdr:row>
      <xdr:rowOff>139700</xdr:rowOff>
    </xdr:to>
    <xdr:cxnSp macro="">
      <xdr:nvCxnSpPr>
        <xdr:cNvPr id="1424" name="AutoShape 111">
          <a:extLst>
            <a:ext uri="{FF2B5EF4-FFF2-40B4-BE49-F238E27FC236}">
              <a16:creationId xmlns:a16="http://schemas.microsoft.com/office/drawing/2014/main" id="{D3112CD4-6242-9A34-AB53-066134C884BC}"/>
            </a:ext>
          </a:extLst>
        </xdr:cNvPr>
        <xdr:cNvCxnSpPr>
          <a:cxnSpLocks noChangeShapeType="1"/>
          <a:stCxn id="1174" idx="1"/>
          <a:endCxn id="1128" idx="3"/>
        </xdr:cNvCxnSpPr>
      </xdr:nvCxnSpPr>
      <xdr:spPr bwMode="auto">
        <a:xfrm flipH="1">
          <a:off x="1295400" y="4349750"/>
          <a:ext cx="508000" cy="127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CC99FF" mc:Ignorable="a14" a14:legacySpreadsheetColorIndex="46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184150</xdr:colOff>
      <xdr:row>11</xdr:row>
      <xdr:rowOff>107950</xdr:rowOff>
    </xdr:from>
    <xdr:to>
      <xdr:col>9</xdr:col>
      <xdr:colOff>273050</xdr:colOff>
      <xdr:row>15</xdr:row>
      <xdr:rowOff>76200</xdr:rowOff>
    </xdr:to>
    <xdr:cxnSp macro="">
      <xdr:nvCxnSpPr>
        <xdr:cNvPr id="1425" name="AutoShape 112">
          <a:extLst>
            <a:ext uri="{FF2B5EF4-FFF2-40B4-BE49-F238E27FC236}">
              <a16:creationId xmlns:a16="http://schemas.microsoft.com/office/drawing/2014/main" id="{FFF9CE09-5BD9-5F02-706E-62E97BE99195}"/>
            </a:ext>
          </a:extLst>
        </xdr:cNvPr>
        <xdr:cNvCxnSpPr>
          <a:cxnSpLocks noChangeShapeType="1"/>
          <a:stCxn id="1156" idx="3"/>
          <a:endCxn id="1129" idx="1"/>
        </xdr:cNvCxnSpPr>
      </xdr:nvCxnSpPr>
      <xdr:spPr bwMode="auto">
        <a:xfrm flipV="1">
          <a:off x="3130550" y="2349500"/>
          <a:ext cx="457200" cy="6286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63500</xdr:colOff>
      <xdr:row>11</xdr:row>
      <xdr:rowOff>107950</xdr:rowOff>
    </xdr:from>
    <xdr:to>
      <xdr:col>14</xdr:col>
      <xdr:colOff>38100</xdr:colOff>
      <xdr:row>11</xdr:row>
      <xdr:rowOff>107950</xdr:rowOff>
    </xdr:to>
    <xdr:cxnSp macro="">
      <xdr:nvCxnSpPr>
        <xdr:cNvPr id="1426" name="AutoShape 113">
          <a:extLst>
            <a:ext uri="{FF2B5EF4-FFF2-40B4-BE49-F238E27FC236}">
              <a16:creationId xmlns:a16="http://schemas.microsoft.com/office/drawing/2014/main" id="{60EC7FD7-4868-4131-45DF-690EFFA3DD87}"/>
            </a:ext>
          </a:extLst>
        </xdr:cNvPr>
        <xdr:cNvCxnSpPr>
          <a:cxnSpLocks noChangeShapeType="1"/>
          <a:stCxn id="1129" idx="3"/>
          <a:endCxn id="1131" idx="1"/>
        </xdr:cNvCxnSpPr>
      </xdr:nvCxnSpPr>
      <xdr:spPr bwMode="auto">
        <a:xfrm>
          <a:off x="4838700" y="2349500"/>
          <a:ext cx="342900" cy="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247650</xdr:colOff>
      <xdr:row>32</xdr:row>
      <xdr:rowOff>98425</xdr:rowOff>
    </xdr:from>
    <xdr:to>
      <xdr:col>13</xdr:col>
      <xdr:colOff>73022</xdr:colOff>
      <xdr:row>34</xdr:row>
      <xdr:rowOff>117475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9D4FB634-B623-ACE8-D116-F5B98D2B165D}"/>
            </a:ext>
          </a:extLst>
        </xdr:cNvPr>
        <xdr:cNvSpPr txBox="1">
          <a:spLocks noChangeArrowheads="1"/>
        </xdr:cNvSpPr>
      </xdr:nvSpPr>
      <xdr:spPr bwMode="auto">
        <a:xfrm>
          <a:off x="3867150" y="6000750"/>
          <a:ext cx="14097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CSV出力情報検索</a:t>
          </a:r>
          <a:endParaRPr lang="ja-JP" altLang="en-US"/>
        </a:p>
      </xdr:txBody>
    </xdr:sp>
    <xdr:clientData/>
  </xdr:twoCellAnchor>
  <xdr:twoCellAnchor>
    <xdr:from>
      <xdr:col>14</xdr:col>
      <xdr:colOff>9525</xdr:colOff>
      <xdr:row>27</xdr:row>
      <xdr:rowOff>127000</xdr:rowOff>
    </xdr:from>
    <xdr:to>
      <xdr:col>17</xdr:col>
      <xdr:colOff>139736</xdr:colOff>
      <xdr:row>30</xdr:row>
      <xdr:rowOff>19013</xdr:rowOff>
    </xdr:to>
    <xdr:sp macro="" textlink="">
      <xdr:nvSpPr>
        <xdr:cNvPr id="1141" name="Text Box 117">
          <a:extLst>
            <a:ext uri="{FF2B5EF4-FFF2-40B4-BE49-F238E27FC236}">
              <a16:creationId xmlns:a16="http://schemas.microsoft.com/office/drawing/2014/main" id="{5F358EC8-D9AE-6211-0767-F128D083948F}"/>
            </a:ext>
          </a:extLst>
        </xdr:cNvPr>
        <xdr:cNvSpPr txBox="1">
          <a:spLocks noChangeArrowheads="1"/>
        </xdr:cNvSpPr>
      </xdr:nvSpPr>
      <xdr:spPr bwMode="auto">
        <a:xfrm>
          <a:off x="5600700" y="5172075"/>
          <a:ext cx="134302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申込状況一覧</a:t>
          </a:r>
          <a:endParaRPr lang="ja-JP" altLang="en-US"/>
        </a:p>
      </xdr:txBody>
    </xdr:sp>
    <xdr:clientData/>
  </xdr:twoCellAnchor>
  <xdr:twoCellAnchor>
    <xdr:from>
      <xdr:col>13</xdr:col>
      <xdr:colOff>69850</xdr:colOff>
      <xdr:row>27</xdr:row>
      <xdr:rowOff>57150</xdr:rowOff>
    </xdr:from>
    <xdr:to>
      <xdr:col>14</xdr:col>
      <xdr:colOff>6350</xdr:colOff>
      <xdr:row>28</xdr:row>
      <xdr:rowOff>158750</xdr:rowOff>
    </xdr:to>
    <xdr:cxnSp macro="">
      <xdr:nvCxnSpPr>
        <xdr:cNvPr id="1429" name="AutoShape 118">
          <a:extLst>
            <a:ext uri="{FF2B5EF4-FFF2-40B4-BE49-F238E27FC236}">
              <a16:creationId xmlns:a16="http://schemas.microsoft.com/office/drawing/2014/main" id="{BA1CFFBB-940C-F36C-C233-F72D3AA8A9FA}"/>
            </a:ext>
          </a:extLst>
        </xdr:cNvPr>
        <xdr:cNvCxnSpPr>
          <a:cxnSpLocks noChangeShapeType="1"/>
          <a:stCxn id="1130" idx="3"/>
          <a:endCxn id="1141" idx="1"/>
        </xdr:cNvCxnSpPr>
      </xdr:nvCxnSpPr>
      <xdr:spPr bwMode="auto">
        <a:xfrm>
          <a:off x="4845050" y="4940300"/>
          <a:ext cx="304800" cy="2667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76200</xdr:colOff>
      <xdr:row>33</xdr:row>
      <xdr:rowOff>107950</xdr:rowOff>
    </xdr:from>
    <xdr:to>
      <xdr:col>14</xdr:col>
      <xdr:colOff>19050</xdr:colOff>
      <xdr:row>33</xdr:row>
      <xdr:rowOff>120650</xdr:rowOff>
    </xdr:to>
    <xdr:cxnSp macro="">
      <xdr:nvCxnSpPr>
        <xdr:cNvPr id="1430" name="AutoShape 121">
          <a:extLst>
            <a:ext uri="{FF2B5EF4-FFF2-40B4-BE49-F238E27FC236}">
              <a16:creationId xmlns:a16="http://schemas.microsoft.com/office/drawing/2014/main" id="{A00D6A33-7F37-36C3-10CB-996ABF38A6B5}"/>
            </a:ext>
          </a:extLst>
        </xdr:cNvPr>
        <xdr:cNvCxnSpPr>
          <a:cxnSpLocks noChangeShapeType="1"/>
          <a:stCxn id="1138" idx="3"/>
          <a:endCxn id="1202" idx="1"/>
        </xdr:cNvCxnSpPr>
      </xdr:nvCxnSpPr>
      <xdr:spPr bwMode="auto">
        <a:xfrm>
          <a:off x="4851400" y="5981700"/>
          <a:ext cx="311150" cy="127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139700</xdr:colOff>
      <xdr:row>33</xdr:row>
      <xdr:rowOff>107950</xdr:rowOff>
    </xdr:from>
    <xdr:to>
      <xdr:col>9</xdr:col>
      <xdr:colOff>247650</xdr:colOff>
      <xdr:row>33</xdr:row>
      <xdr:rowOff>107950</xdr:rowOff>
    </xdr:to>
    <xdr:cxnSp macro="">
      <xdr:nvCxnSpPr>
        <xdr:cNvPr id="1431" name="AutoShape 123">
          <a:extLst>
            <a:ext uri="{FF2B5EF4-FFF2-40B4-BE49-F238E27FC236}">
              <a16:creationId xmlns:a16="http://schemas.microsoft.com/office/drawing/2014/main" id="{04E3374F-8144-44C8-A337-571227D6FC2E}"/>
            </a:ext>
          </a:extLst>
        </xdr:cNvPr>
        <xdr:cNvCxnSpPr>
          <a:cxnSpLocks noChangeShapeType="1"/>
          <a:stCxn id="1150" idx="3"/>
          <a:endCxn id="1138" idx="1"/>
        </xdr:cNvCxnSpPr>
      </xdr:nvCxnSpPr>
      <xdr:spPr bwMode="auto">
        <a:xfrm>
          <a:off x="3086100" y="5981700"/>
          <a:ext cx="476250" cy="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38100</xdr:colOff>
      <xdr:row>9</xdr:row>
      <xdr:rowOff>0</xdr:rowOff>
    </xdr:from>
    <xdr:to>
      <xdr:col>3</xdr:col>
      <xdr:colOff>209511</xdr:colOff>
      <xdr:row>11</xdr:row>
      <xdr:rowOff>161925</xdr:rowOff>
    </xdr:to>
    <xdr:sp macro="" textlink="">
      <xdr:nvSpPr>
        <xdr:cNvPr id="1148" name="Text Box 124">
          <a:extLst>
            <a:ext uri="{FF2B5EF4-FFF2-40B4-BE49-F238E27FC236}">
              <a16:creationId xmlns:a16="http://schemas.microsoft.com/office/drawing/2014/main" id="{7DA1C622-D860-7702-C901-618FDE81DDA7}"/>
            </a:ext>
          </a:extLst>
        </xdr:cNvPr>
        <xdr:cNvSpPr txBox="1">
          <a:spLocks noChangeArrowheads="1"/>
        </xdr:cNvSpPr>
      </xdr:nvSpPr>
      <xdr:spPr bwMode="auto">
        <a:xfrm>
          <a:off x="438150" y="1952625"/>
          <a:ext cx="990600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CCFF" mc:Ignorable="a14" a14:legacySpreadsheetColorIndex="3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共通画面</a:t>
          </a:r>
          <a:endParaRPr lang="ja-JP" altLang="en-US"/>
        </a:p>
      </xdr:txBody>
    </xdr:sp>
    <xdr:clientData/>
  </xdr:twoCellAnchor>
  <xdr:twoCellAnchor>
    <xdr:from>
      <xdr:col>2</xdr:col>
      <xdr:colOff>114300</xdr:colOff>
      <xdr:row>11</xdr:row>
      <xdr:rowOff>158750</xdr:rowOff>
    </xdr:from>
    <xdr:to>
      <xdr:col>2</xdr:col>
      <xdr:colOff>120650</xdr:colOff>
      <xdr:row>14</xdr:row>
      <xdr:rowOff>0</xdr:rowOff>
    </xdr:to>
    <xdr:cxnSp macro="">
      <xdr:nvCxnSpPr>
        <xdr:cNvPr id="1433" name="AutoShape 125">
          <a:extLst>
            <a:ext uri="{FF2B5EF4-FFF2-40B4-BE49-F238E27FC236}">
              <a16:creationId xmlns:a16="http://schemas.microsoft.com/office/drawing/2014/main" id="{ECDA06BF-6ACA-A800-BA35-ABD92D12CEC8}"/>
            </a:ext>
          </a:extLst>
        </xdr:cNvPr>
        <xdr:cNvCxnSpPr>
          <a:cxnSpLocks noChangeShapeType="1"/>
          <a:stCxn id="1148" idx="2"/>
          <a:endCxn id="1127" idx="0"/>
        </xdr:cNvCxnSpPr>
      </xdr:nvCxnSpPr>
      <xdr:spPr bwMode="auto">
        <a:xfrm flipH="1">
          <a:off x="850900" y="2400300"/>
          <a:ext cx="6350" cy="3365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330200</xdr:colOff>
      <xdr:row>32</xdr:row>
      <xdr:rowOff>98425</xdr:rowOff>
    </xdr:from>
    <xdr:to>
      <xdr:col>8</xdr:col>
      <xdr:colOff>139757</xdr:colOff>
      <xdr:row>34</xdr:row>
      <xdr:rowOff>117475</xdr:rowOff>
    </xdr:to>
    <xdr:sp macro="" textlink="">
      <xdr:nvSpPr>
        <xdr:cNvPr id="1150" name="Text Box 126">
          <a:extLst>
            <a:ext uri="{FF2B5EF4-FFF2-40B4-BE49-F238E27FC236}">
              <a16:creationId xmlns:a16="http://schemas.microsoft.com/office/drawing/2014/main" id="{89C868AD-6A96-1256-228B-8F67370AA899}"/>
            </a:ext>
          </a:extLst>
        </xdr:cNvPr>
        <xdr:cNvSpPr txBox="1">
          <a:spLocks noChangeArrowheads="1"/>
        </xdr:cNvSpPr>
      </xdr:nvSpPr>
      <xdr:spPr bwMode="auto">
        <a:xfrm>
          <a:off x="1962150" y="6000750"/>
          <a:ext cx="13906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endParaRPr lang="ja-JP" altLang="en-US"/>
        </a:p>
      </xdr:txBody>
    </xdr:sp>
    <xdr:clientData/>
  </xdr:twoCellAnchor>
  <xdr:twoCellAnchor>
    <xdr:from>
      <xdr:col>3</xdr:col>
      <xdr:colOff>209550</xdr:colOff>
      <xdr:row>10</xdr:row>
      <xdr:rowOff>82550</xdr:rowOff>
    </xdr:from>
    <xdr:to>
      <xdr:col>4</xdr:col>
      <xdr:colOff>330200</xdr:colOff>
      <xdr:row>14</xdr:row>
      <xdr:rowOff>44450</xdr:rowOff>
    </xdr:to>
    <xdr:cxnSp macro="">
      <xdr:nvCxnSpPr>
        <xdr:cNvPr id="1435" name="AutoShape 134">
          <a:extLst>
            <a:ext uri="{FF2B5EF4-FFF2-40B4-BE49-F238E27FC236}">
              <a16:creationId xmlns:a16="http://schemas.microsoft.com/office/drawing/2014/main" id="{0FD56B1D-5617-FF2A-D399-417DEE9EF466}"/>
            </a:ext>
          </a:extLst>
        </xdr:cNvPr>
        <xdr:cNvCxnSpPr>
          <a:cxnSpLocks noChangeShapeType="1"/>
          <a:stCxn id="1157" idx="1"/>
          <a:endCxn id="1148" idx="3"/>
        </xdr:cNvCxnSpPr>
      </xdr:nvCxnSpPr>
      <xdr:spPr bwMode="auto">
        <a:xfrm flipH="1" flipV="1">
          <a:off x="1314450" y="2159000"/>
          <a:ext cx="488950" cy="6223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99CC" mc:Ignorable="a14" a14:legacySpreadsheetColorIndex="45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209550</xdr:colOff>
      <xdr:row>10</xdr:row>
      <xdr:rowOff>82550</xdr:rowOff>
    </xdr:from>
    <xdr:to>
      <xdr:col>4</xdr:col>
      <xdr:colOff>330200</xdr:colOff>
      <xdr:row>22</xdr:row>
      <xdr:rowOff>88900</xdr:rowOff>
    </xdr:to>
    <xdr:cxnSp macro="">
      <xdr:nvCxnSpPr>
        <xdr:cNvPr id="1436" name="AutoShape 135">
          <a:extLst>
            <a:ext uri="{FF2B5EF4-FFF2-40B4-BE49-F238E27FC236}">
              <a16:creationId xmlns:a16="http://schemas.microsoft.com/office/drawing/2014/main" id="{001B9607-8D7E-2275-A6B7-3C6CCDD0A96A}"/>
            </a:ext>
          </a:extLst>
        </xdr:cNvPr>
        <xdr:cNvCxnSpPr>
          <a:cxnSpLocks noChangeShapeType="1"/>
          <a:stCxn id="1175" idx="1"/>
          <a:endCxn id="1148" idx="3"/>
        </xdr:cNvCxnSpPr>
      </xdr:nvCxnSpPr>
      <xdr:spPr bwMode="auto">
        <a:xfrm flipH="1" flipV="1">
          <a:off x="1314450" y="2159000"/>
          <a:ext cx="488950" cy="19875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99CC" mc:Ignorable="a14" a14:legacySpreadsheetColorIndex="45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107950</xdr:colOff>
      <xdr:row>16</xdr:row>
      <xdr:rowOff>158750</xdr:rowOff>
    </xdr:from>
    <xdr:to>
      <xdr:col>2</xdr:col>
      <xdr:colOff>114300</xdr:colOff>
      <xdr:row>22</xdr:row>
      <xdr:rowOff>76200</xdr:rowOff>
    </xdr:to>
    <xdr:cxnSp macro="">
      <xdr:nvCxnSpPr>
        <xdr:cNvPr id="1437" name="AutoShape 138">
          <a:extLst>
            <a:ext uri="{FF2B5EF4-FFF2-40B4-BE49-F238E27FC236}">
              <a16:creationId xmlns:a16="http://schemas.microsoft.com/office/drawing/2014/main" id="{4B4BA485-3B0D-26A1-5B86-DB8D05B9DBB4}"/>
            </a:ext>
          </a:extLst>
        </xdr:cNvPr>
        <xdr:cNvCxnSpPr>
          <a:cxnSpLocks noChangeShapeType="1"/>
          <a:stCxn id="1127" idx="2"/>
          <a:endCxn id="1128" idx="0"/>
        </xdr:cNvCxnSpPr>
      </xdr:nvCxnSpPr>
      <xdr:spPr bwMode="auto">
        <a:xfrm flipH="1">
          <a:off x="844550" y="3225800"/>
          <a:ext cx="6350" cy="9080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</xdr:colOff>
      <xdr:row>24</xdr:row>
      <xdr:rowOff>98425</xdr:rowOff>
    </xdr:from>
    <xdr:to>
      <xdr:col>17</xdr:col>
      <xdr:colOff>158786</xdr:colOff>
      <xdr:row>26</xdr:row>
      <xdr:rowOff>155575</xdr:rowOff>
    </xdr:to>
    <xdr:sp macro="" textlink="">
      <xdr:nvSpPr>
        <xdr:cNvPr id="1182" name="Text Box 158">
          <a:extLst>
            <a:ext uri="{FF2B5EF4-FFF2-40B4-BE49-F238E27FC236}">
              <a16:creationId xmlns:a16="http://schemas.microsoft.com/office/drawing/2014/main" id="{B9AE9932-BEA4-8646-A833-87E5816C38B6}"/>
            </a:ext>
          </a:extLst>
        </xdr:cNvPr>
        <xdr:cNvSpPr txBox="1">
          <a:spLocks noChangeArrowheads="1"/>
        </xdr:cNvSpPr>
      </xdr:nvSpPr>
      <xdr:spPr bwMode="auto">
        <a:xfrm>
          <a:off x="5600700" y="4629150"/>
          <a:ext cx="136207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出欠件数情報</a:t>
          </a:r>
          <a:endParaRPr lang="ja-JP" altLang="en-US"/>
        </a:p>
      </xdr:txBody>
    </xdr:sp>
    <xdr:clientData/>
  </xdr:twoCellAnchor>
  <xdr:twoCellAnchor>
    <xdr:from>
      <xdr:col>13</xdr:col>
      <xdr:colOff>69850</xdr:colOff>
      <xdr:row>25</xdr:row>
      <xdr:rowOff>127000</xdr:rowOff>
    </xdr:from>
    <xdr:to>
      <xdr:col>14</xdr:col>
      <xdr:colOff>6350</xdr:colOff>
      <xdr:row>27</xdr:row>
      <xdr:rowOff>57150</xdr:rowOff>
    </xdr:to>
    <xdr:cxnSp macro="">
      <xdr:nvCxnSpPr>
        <xdr:cNvPr id="1439" name="AutoShape 159">
          <a:extLst>
            <a:ext uri="{FF2B5EF4-FFF2-40B4-BE49-F238E27FC236}">
              <a16:creationId xmlns:a16="http://schemas.microsoft.com/office/drawing/2014/main" id="{57DE2367-C87A-CD41-7701-DA460F06E0B2}"/>
            </a:ext>
          </a:extLst>
        </xdr:cNvPr>
        <xdr:cNvCxnSpPr>
          <a:cxnSpLocks noChangeShapeType="1"/>
          <a:stCxn id="1130" idx="3"/>
          <a:endCxn id="1182" idx="1"/>
        </xdr:cNvCxnSpPr>
      </xdr:nvCxnSpPr>
      <xdr:spPr bwMode="auto">
        <a:xfrm flipV="1">
          <a:off x="4845050" y="4679950"/>
          <a:ext cx="304800" cy="2603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184150</xdr:colOff>
      <xdr:row>17</xdr:row>
      <xdr:rowOff>127000</xdr:rowOff>
    </xdr:from>
    <xdr:to>
      <xdr:col>11</xdr:col>
      <xdr:colOff>146050</xdr:colOff>
      <xdr:row>21</xdr:row>
      <xdr:rowOff>101600</xdr:rowOff>
    </xdr:to>
    <xdr:cxnSp macro="">
      <xdr:nvCxnSpPr>
        <xdr:cNvPr id="1440" name="AutoShape 163">
          <a:extLst>
            <a:ext uri="{FF2B5EF4-FFF2-40B4-BE49-F238E27FC236}">
              <a16:creationId xmlns:a16="http://schemas.microsoft.com/office/drawing/2014/main" id="{F51E17A5-4BD0-85D4-D222-10E02F11F978}"/>
            </a:ext>
          </a:extLst>
        </xdr:cNvPr>
        <xdr:cNvCxnSpPr>
          <a:cxnSpLocks noChangeShapeType="1"/>
          <a:stCxn id="1155" idx="3"/>
          <a:endCxn id="1216" idx="0"/>
        </xdr:cNvCxnSpPr>
      </xdr:nvCxnSpPr>
      <xdr:spPr bwMode="auto">
        <a:xfrm>
          <a:off x="3130550" y="3359150"/>
          <a:ext cx="1066800" cy="635000"/>
        </a:xfrm>
        <a:prstGeom prst="bentConnector2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miter lim="800000"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330200</xdr:colOff>
      <xdr:row>13</xdr:row>
      <xdr:rowOff>101600</xdr:rowOff>
    </xdr:from>
    <xdr:to>
      <xdr:col>8</xdr:col>
      <xdr:colOff>184150</xdr:colOff>
      <xdr:row>18</xdr:row>
      <xdr:rowOff>63500</xdr:rowOff>
    </xdr:to>
    <xdr:grpSp>
      <xdr:nvGrpSpPr>
        <xdr:cNvPr id="1441" name="Group 187">
          <a:extLst>
            <a:ext uri="{FF2B5EF4-FFF2-40B4-BE49-F238E27FC236}">
              <a16:creationId xmlns:a16="http://schemas.microsoft.com/office/drawing/2014/main" id="{15E046E3-6A90-1AD4-307D-DD441BBD8EDC}"/>
            </a:ext>
          </a:extLst>
        </xdr:cNvPr>
        <xdr:cNvGrpSpPr>
          <a:grpSpLocks/>
        </xdr:cNvGrpSpPr>
      </xdr:nvGrpSpPr>
      <xdr:grpSpPr bwMode="auto">
        <a:xfrm>
          <a:off x="1794435" y="2671482"/>
          <a:ext cx="1318186" cy="783665"/>
          <a:chOff x="206" y="288"/>
          <a:chExt cx="151" cy="86"/>
        </a:xfrm>
      </xdr:grpSpPr>
      <xdr:sp macro="" textlink="">
        <xdr:nvSpPr>
          <xdr:cNvPr id="1154" name="Text Box 130">
            <a:extLst>
              <a:ext uri="{FF2B5EF4-FFF2-40B4-BE49-F238E27FC236}">
                <a16:creationId xmlns:a16="http://schemas.microsoft.com/office/drawing/2014/main" id="{0D108489-9FAF-ADA6-E110-627E51E5CA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332"/>
            <a:ext cx="151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SV検索</a:t>
            </a:r>
            <a:endParaRPr lang="ja-JP" altLang="en-US"/>
          </a:p>
        </xdr:txBody>
      </xdr:sp>
      <xdr:sp macro="" textlink="">
        <xdr:nvSpPr>
          <xdr:cNvPr id="1155" name="Text Box 131">
            <a:extLst>
              <a:ext uri="{FF2B5EF4-FFF2-40B4-BE49-F238E27FC236}">
                <a16:creationId xmlns:a16="http://schemas.microsoft.com/office/drawing/2014/main" id="{E6B1692B-777E-0DCD-7F04-C79ED0FB31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352"/>
            <a:ext cx="151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実行</a:t>
            </a:r>
            <a:endParaRPr lang="ja-JP" altLang="en-US"/>
          </a:p>
        </xdr:txBody>
      </xdr:sp>
      <xdr:sp macro="" textlink="">
        <xdr:nvSpPr>
          <xdr:cNvPr id="1156" name="Text Box 132">
            <a:extLst>
              <a:ext uri="{FF2B5EF4-FFF2-40B4-BE49-F238E27FC236}">
                <a16:creationId xmlns:a16="http://schemas.microsoft.com/office/drawing/2014/main" id="{097900DB-ED2A-8D31-A168-AB73E311AA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309"/>
            <a:ext cx="151" cy="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初期処理</a:t>
            </a:r>
            <a:endParaRPr lang="ja-JP" altLang="en-US"/>
          </a:p>
        </xdr:txBody>
      </xdr:sp>
      <xdr:sp macro="" textlink="">
        <xdr:nvSpPr>
          <xdr:cNvPr id="1157" name="Text Box 133">
            <a:extLst>
              <a:ext uri="{FF2B5EF4-FFF2-40B4-BE49-F238E27FC236}">
                <a16:creationId xmlns:a16="http://schemas.microsoft.com/office/drawing/2014/main" id="{C4C340EF-571A-9E08-4776-6621C0326E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288"/>
            <a:ext cx="151" cy="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戻る</a:t>
            </a:r>
            <a:endParaRPr lang="ja-JP" altLang="en-US"/>
          </a:p>
        </xdr:txBody>
      </xdr:sp>
    </xdr:grpSp>
    <xdr:clientData/>
  </xdr:twoCellAnchor>
  <xdr:twoCellAnchor>
    <xdr:from>
      <xdr:col>4</xdr:col>
      <xdr:colOff>330200</xdr:colOff>
      <xdr:row>21</xdr:row>
      <xdr:rowOff>158750</xdr:rowOff>
    </xdr:from>
    <xdr:to>
      <xdr:col>8</xdr:col>
      <xdr:colOff>158750</xdr:colOff>
      <xdr:row>26</xdr:row>
      <xdr:rowOff>127000</xdr:rowOff>
    </xdr:to>
    <xdr:grpSp>
      <xdr:nvGrpSpPr>
        <xdr:cNvPr id="1442" name="Group 186">
          <a:extLst>
            <a:ext uri="{FF2B5EF4-FFF2-40B4-BE49-F238E27FC236}">
              <a16:creationId xmlns:a16="http://schemas.microsoft.com/office/drawing/2014/main" id="{6FFF04A9-F380-B53A-DF30-E78283A90A82}"/>
            </a:ext>
          </a:extLst>
        </xdr:cNvPr>
        <xdr:cNvGrpSpPr>
          <a:grpSpLocks/>
        </xdr:cNvGrpSpPr>
      </xdr:nvGrpSpPr>
      <xdr:grpSpPr bwMode="auto">
        <a:xfrm>
          <a:off x="1794435" y="4043456"/>
          <a:ext cx="1292786" cy="790015"/>
          <a:chOff x="206" y="433"/>
          <a:chExt cx="148" cy="87"/>
        </a:xfrm>
      </xdr:grpSpPr>
      <xdr:sp macro="" textlink="">
        <xdr:nvSpPr>
          <xdr:cNvPr id="1174" name="Text Box 150">
            <a:extLst>
              <a:ext uri="{FF2B5EF4-FFF2-40B4-BE49-F238E27FC236}">
                <a16:creationId xmlns:a16="http://schemas.microsoft.com/office/drawing/2014/main" id="{64F05325-3CB8-06F0-D770-D93F44C2B0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455"/>
            <a:ext cx="148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初期処理</a:t>
            </a:r>
            <a:endParaRPr lang="ja-JP" altLang="en-US"/>
          </a:p>
        </xdr:txBody>
      </xdr:sp>
      <xdr:sp macro="" textlink="">
        <xdr:nvSpPr>
          <xdr:cNvPr id="1175" name="Text Box 151">
            <a:extLst>
              <a:ext uri="{FF2B5EF4-FFF2-40B4-BE49-F238E27FC236}">
                <a16:creationId xmlns:a16="http://schemas.microsoft.com/office/drawing/2014/main" id="{B6840FC8-AE3B-9E12-AB64-D7EFD60BED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433"/>
            <a:ext cx="148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戻る</a:t>
            </a:r>
            <a:endParaRPr lang="ja-JP" altLang="en-US"/>
          </a:p>
        </xdr:txBody>
      </xdr:sp>
      <xdr:sp macro="" textlink="">
        <xdr:nvSpPr>
          <xdr:cNvPr id="1176" name="Text Box 152">
            <a:extLst>
              <a:ext uri="{FF2B5EF4-FFF2-40B4-BE49-F238E27FC236}">
                <a16:creationId xmlns:a16="http://schemas.microsoft.com/office/drawing/2014/main" id="{FF84325B-FC05-0CCE-B2E2-4B67855EBE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498"/>
            <a:ext cx="148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再検索</a:t>
            </a:r>
            <a:endParaRPr lang="ja-JP" altLang="en-US"/>
          </a:p>
        </xdr:txBody>
      </xdr:sp>
      <xdr:sp macro="" textlink="">
        <xdr:nvSpPr>
          <xdr:cNvPr id="1199" name="Text Box 175">
            <a:extLst>
              <a:ext uri="{FF2B5EF4-FFF2-40B4-BE49-F238E27FC236}">
                <a16:creationId xmlns:a16="http://schemas.microsoft.com/office/drawing/2014/main" id="{F1522F4C-02D3-F088-D3FD-E57FD367565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" y="477"/>
            <a:ext cx="148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SV検索</a:t>
            </a:r>
            <a:endParaRPr lang="ja-JP" altLang="en-US"/>
          </a:p>
        </xdr:txBody>
      </xdr:sp>
    </xdr:grpSp>
    <xdr:clientData/>
  </xdr:twoCellAnchor>
  <xdr:twoCellAnchor>
    <xdr:from>
      <xdr:col>3</xdr:col>
      <xdr:colOff>190500</xdr:colOff>
      <xdr:row>23</xdr:row>
      <xdr:rowOff>139700</xdr:rowOff>
    </xdr:from>
    <xdr:to>
      <xdr:col>4</xdr:col>
      <xdr:colOff>330200</xdr:colOff>
      <xdr:row>25</xdr:row>
      <xdr:rowOff>0</xdr:rowOff>
    </xdr:to>
    <xdr:cxnSp macro="">
      <xdr:nvCxnSpPr>
        <xdr:cNvPr id="1443" name="AutoShape 177">
          <a:extLst>
            <a:ext uri="{FF2B5EF4-FFF2-40B4-BE49-F238E27FC236}">
              <a16:creationId xmlns:a16="http://schemas.microsoft.com/office/drawing/2014/main" id="{51EB1BBF-169F-7C6D-8EE5-CFE445EC7D47}"/>
            </a:ext>
          </a:extLst>
        </xdr:cNvPr>
        <xdr:cNvCxnSpPr>
          <a:cxnSpLocks noChangeShapeType="1"/>
          <a:stCxn id="1199" idx="1"/>
          <a:endCxn id="1128" idx="3"/>
        </xdr:cNvCxnSpPr>
      </xdr:nvCxnSpPr>
      <xdr:spPr bwMode="auto">
        <a:xfrm flipH="1" flipV="1">
          <a:off x="1295400" y="4362450"/>
          <a:ext cx="508000" cy="1905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19050</xdr:colOff>
      <xdr:row>32</xdr:row>
      <xdr:rowOff>98425</xdr:rowOff>
    </xdr:from>
    <xdr:to>
      <xdr:col>17</xdr:col>
      <xdr:colOff>149196</xdr:colOff>
      <xdr:row>34</xdr:row>
      <xdr:rowOff>136525</xdr:rowOff>
    </xdr:to>
    <xdr:sp macro="" textlink="">
      <xdr:nvSpPr>
        <xdr:cNvPr id="1202" name="Text Box 178">
          <a:extLst>
            <a:ext uri="{FF2B5EF4-FFF2-40B4-BE49-F238E27FC236}">
              <a16:creationId xmlns:a16="http://schemas.microsoft.com/office/drawing/2014/main" id="{C0BA27E8-0E31-0657-C9C0-52112B4FB5E4}"/>
            </a:ext>
          </a:extLst>
        </xdr:cNvPr>
        <xdr:cNvSpPr txBox="1">
          <a:spLocks noChangeArrowheads="1"/>
        </xdr:cNvSpPr>
      </xdr:nvSpPr>
      <xdr:spPr bwMode="auto">
        <a:xfrm>
          <a:off x="5610225" y="6000750"/>
          <a:ext cx="13430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CSV申込状況一覧</a:t>
          </a:r>
          <a:endParaRPr lang="ja-JP" altLang="en-US"/>
        </a:p>
      </xdr:txBody>
    </xdr:sp>
    <xdr:clientData/>
  </xdr:twoCellAnchor>
  <xdr:twoCellAnchor>
    <xdr:from>
      <xdr:col>8</xdr:col>
      <xdr:colOff>158750</xdr:colOff>
      <xdr:row>21</xdr:row>
      <xdr:rowOff>101600</xdr:rowOff>
    </xdr:from>
    <xdr:to>
      <xdr:col>11</xdr:col>
      <xdr:colOff>146050</xdr:colOff>
      <xdr:row>26</xdr:row>
      <xdr:rowOff>25400</xdr:rowOff>
    </xdr:to>
    <xdr:cxnSp macro="">
      <xdr:nvCxnSpPr>
        <xdr:cNvPr id="1445" name="AutoShape 184">
          <a:extLst>
            <a:ext uri="{FF2B5EF4-FFF2-40B4-BE49-F238E27FC236}">
              <a16:creationId xmlns:a16="http://schemas.microsoft.com/office/drawing/2014/main" id="{EAB0AA37-8013-29E8-7CA9-403247217EDA}"/>
            </a:ext>
          </a:extLst>
        </xdr:cNvPr>
        <xdr:cNvCxnSpPr>
          <a:cxnSpLocks noChangeShapeType="1"/>
          <a:stCxn id="1176" idx="3"/>
          <a:endCxn id="1216" idx="0"/>
        </xdr:cNvCxnSpPr>
      </xdr:nvCxnSpPr>
      <xdr:spPr bwMode="auto">
        <a:xfrm flipV="1">
          <a:off x="3105150" y="3994150"/>
          <a:ext cx="1092200" cy="749300"/>
        </a:xfrm>
        <a:prstGeom prst="bentConnector4">
          <a:avLst>
            <a:gd name="adj1" fmla="val 20801"/>
            <a:gd name="adj2" fmla="val 129269"/>
          </a:avLst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miter lim="800000"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47625</xdr:colOff>
      <xdr:row>13</xdr:row>
      <xdr:rowOff>104775</xdr:rowOff>
    </xdr:from>
    <xdr:to>
      <xdr:col>17</xdr:col>
      <xdr:colOff>177836</xdr:colOff>
      <xdr:row>15</xdr:row>
      <xdr:rowOff>155599</xdr:rowOff>
    </xdr:to>
    <xdr:sp macro="" textlink="">
      <xdr:nvSpPr>
        <xdr:cNvPr id="1212" name="Text Box 188">
          <a:extLst>
            <a:ext uri="{FF2B5EF4-FFF2-40B4-BE49-F238E27FC236}">
              <a16:creationId xmlns:a16="http://schemas.microsoft.com/office/drawing/2014/main" id="{036257D6-CAAD-0F90-4B4A-C86AC9F27392}"/>
            </a:ext>
          </a:extLst>
        </xdr:cNvPr>
        <xdr:cNvSpPr txBox="1">
          <a:spLocks noChangeArrowheads="1"/>
        </xdr:cNvSpPr>
      </xdr:nvSpPr>
      <xdr:spPr bwMode="auto">
        <a:xfrm>
          <a:off x="5638800" y="2743200"/>
          <a:ext cx="134302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支部リスト</a:t>
          </a:r>
          <a:endParaRPr lang="ja-JP" altLang="en-US"/>
        </a:p>
      </xdr:txBody>
    </xdr:sp>
    <xdr:clientData/>
  </xdr:twoCellAnchor>
  <xdr:twoCellAnchor>
    <xdr:from>
      <xdr:col>13</xdr:col>
      <xdr:colOff>63500</xdr:colOff>
      <xdr:row>11</xdr:row>
      <xdr:rowOff>107950</xdr:rowOff>
    </xdr:from>
    <xdr:to>
      <xdr:col>14</xdr:col>
      <xdr:colOff>44450</xdr:colOff>
      <xdr:row>14</xdr:row>
      <xdr:rowOff>127000</xdr:rowOff>
    </xdr:to>
    <xdr:cxnSp macro="">
      <xdr:nvCxnSpPr>
        <xdr:cNvPr id="1447" name="AutoShape 190">
          <a:extLst>
            <a:ext uri="{FF2B5EF4-FFF2-40B4-BE49-F238E27FC236}">
              <a16:creationId xmlns:a16="http://schemas.microsoft.com/office/drawing/2014/main" id="{575CACD0-7115-D283-1604-E915BA1ADCDB}"/>
            </a:ext>
          </a:extLst>
        </xdr:cNvPr>
        <xdr:cNvCxnSpPr>
          <a:cxnSpLocks noChangeShapeType="1"/>
          <a:stCxn id="1129" idx="3"/>
          <a:endCxn id="1212" idx="1"/>
        </xdr:cNvCxnSpPr>
      </xdr:nvCxnSpPr>
      <xdr:spPr bwMode="auto">
        <a:xfrm>
          <a:off x="4838700" y="2349500"/>
          <a:ext cx="349250" cy="5143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247650</xdr:colOff>
      <xdr:row>21</xdr:row>
      <xdr:rowOff>104775</xdr:rowOff>
    </xdr:from>
    <xdr:to>
      <xdr:col>13</xdr:col>
      <xdr:colOff>50827</xdr:colOff>
      <xdr:row>23</xdr:row>
      <xdr:rowOff>123825</xdr:rowOff>
    </xdr:to>
    <xdr:sp macro="" textlink="">
      <xdr:nvSpPr>
        <xdr:cNvPr id="1216" name="Text Box 192">
          <a:extLst>
            <a:ext uri="{FF2B5EF4-FFF2-40B4-BE49-F238E27FC236}">
              <a16:creationId xmlns:a16="http://schemas.microsoft.com/office/drawing/2014/main" id="{1C6986DF-D3E0-4654-3244-F4CE74E96340}"/>
            </a:ext>
          </a:extLst>
        </xdr:cNvPr>
        <xdr:cNvSpPr txBox="1">
          <a:spLocks noChangeArrowheads="1"/>
        </xdr:cNvSpPr>
      </xdr:nvSpPr>
      <xdr:spPr bwMode="auto">
        <a:xfrm>
          <a:off x="3867150" y="4114800"/>
          <a:ext cx="1381125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SVコード存在チェック</a:t>
          </a:r>
          <a:endParaRPr lang="ja-JP" altLang="en-US"/>
        </a:p>
      </xdr:txBody>
    </xdr:sp>
    <xdr:clientData/>
  </xdr:twoCellAnchor>
  <xdr:twoCellAnchor>
    <xdr:from>
      <xdr:col>11</xdr:col>
      <xdr:colOff>146050</xdr:colOff>
      <xdr:row>23</xdr:row>
      <xdr:rowOff>120650</xdr:rowOff>
    </xdr:from>
    <xdr:to>
      <xdr:col>11</xdr:col>
      <xdr:colOff>158750</xdr:colOff>
      <xdr:row>26</xdr:row>
      <xdr:rowOff>44450</xdr:rowOff>
    </xdr:to>
    <xdr:cxnSp macro="">
      <xdr:nvCxnSpPr>
        <xdr:cNvPr id="1449" name="AutoShape 193">
          <a:extLst>
            <a:ext uri="{FF2B5EF4-FFF2-40B4-BE49-F238E27FC236}">
              <a16:creationId xmlns:a16="http://schemas.microsoft.com/office/drawing/2014/main" id="{56EE0794-E836-C143-104F-42D13289C892}"/>
            </a:ext>
          </a:extLst>
        </xdr:cNvPr>
        <xdr:cNvCxnSpPr>
          <a:cxnSpLocks noChangeShapeType="1"/>
          <a:stCxn id="1216" idx="2"/>
          <a:endCxn id="1130" idx="0"/>
        </xdr:cNvCxnSpPr>
      </xdr:nvCxnSpPr>
      <xdr:spPr bwMode="auto">
        <a:xfrm>
          <a:off x="4197350" y="4343400"/>
          <a:ext cx="12700" cy="41910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158750</xdr:colOff>
      <xdr:row>26</xdr:row>
      <xdr:rowOff>25400</xdr:rowOff>
    </xdr:from>
    <xdr:to>
      <xdr:col>9</xdr:col>
      <xdr:colOff>247650</xdr:colOff>
      <xdr:row>27</xdr:row>
      <xdr:rowOff>57150</xdr:rowOff>
    </xdr:to>
    <xdr:cxnSp macro="">
      <xdr:nvCxnSpPr>
        <xdr:cNvPr id="1450" name="AutoShape 194">
          <a:extLst>
            <a:ext uri="{FF2B5EF4-FFF2-40B4-BE49-F238E27FC236}">
              <a16:creationId xmlns:a16="http://schemas.microsoft.com/office/drawing/2014/main" id="{AD62C953-5073-F762-FA7D-5192C1143662}"/>
            </a:ext>
          </a:extLst>
        </xdr:cNvPr>
        <xdr:cNvCxnSpPr>
          <a:cxnSpLocks noChangeShapeType="1"/>
          <a:stCxn id="1176" idx="3"/>
          <a:endCxn id="1130" idx="1"/>
        </xdr:cNvCxnSpPr>
      </xdr:nvCxnSpPr>
      <xdr:spPr bwMode="auto">
        <a:xfrm>
          <a:off x="3105150" y="4743450"/>
          <a:ext cx="457200" cy="1968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184150</xdr:colOff>
      <xdr:row>17</xdr:row>
      <xdr:rowOff>127000</xdr:rowOff>
    </xdr:from>
    <xdr:to>
      <xdr:col>9</xdr:col>
      <xdr:colOff>247650</xdr:colOff>
      <xdr:row>27</xdr:row>
      <xdr:rowOff>57150</xdr:rowOff>
    </xdr:to>
    <xdr:cxnSp macro="">
      <xdr:nvCxnSpPr>
        <xdr:cNvPr id="1451" name="AutoShape 195">
          <a:extLst>
            <a:ext uri="{FF2B5EF4-FFF2-40B4-BE49-F238E27FC236}">
              <a16:creationId xmlns:a16="http://schemas.microsoft.com/office/drawing/2014/main" id="{D19029FE-953F-3E31-8221-3215EBD5DD45}"/>
            </a:ext>
          </a:extLst>
        </xdr:cNvPr>
        <xdr:cNvCxnSpPr>
          <a:cxnSpLocks noChangeShapeType="1"/>
          <a:stCxn id="1155" idx="3"/>
          <a:endCxn id="1130" idx="1"/>
        </xdr:cNvCxnSpPr>
      </xdr:nvCxnSpPr>
      <xdr:spPr bwMode="auto">
        <a:xfrm>
          <a:off x="3130550" y="3359150"/>
          <a:ext cx="431800" cy="15811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19050</xdr:colOff>
      <xdr:row>21</xdr:row>
      <xdr:rowOff>76200</xdr:rowOff>
    </xdr:from>
    <xdr:to>
      <xdr:col>17</xdr:col>
      <xdr:colOff>149196</xdr:colOff>
      <xdr:row>23</xdr:row>
      <xdr:rowOff>127024</xdr:rowOff>
    </xdr:to>
    <xdr:sp macro="" textlink="">
      <xdr:nvSpPr>
        <xdr:cNvPr id="1220" name="Text Box 196">
          <a:extLst>
            <a:ext uri="{FF2B5EF4-FFF2-40B4-BE49-F238E27FC236}">
              <a16:creationId xmlns:a16="http://schemas.microsoft.com/office/drawing/2014/main" id="{DABE731B-F2E0-1E2A-A779-5C0AEF8CF04D}"/>
            </a:ext>
          </a:extLst>
        </xdr:cNvPr>
        <xdr:cNvSpPr txBox="1">
          <a:spLocks noChangeArrowheads="1"/>
        </xdr:cNvSpPr>
      </xdr:nvSpPr>
      <xdr:spPr bwMode="auto">
        <a:xfrm>
          <a:off x="5610225" y="4086225"/>
          <a:ext cx="134302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SVリスト</a:t>
          </a:r>
          <a:endParaRPr lang="ja-JP" altLang="en-US"/>
        </a:p>
      </xdr:txBody>
    </xdr:sp>
    <xdr:clientData/>
  </xdr:twoCellAnchor>
  <xdr:twoCellAnchor>
    <xdr:from>
      <xdr:col>13</xdr:col>
      <xdr:colOff>50800</xdr:colOff>
      <xdr:row>22</xdr:row>
      <xdr:rowOff>101600</xdr:rowOff>
    </xdr:from>
    <xdr:to>
      <xdr:col>14</xdr:col>
      <xdr:colOff>19050</xdr:colOff>
      <xdr:row>22</xdr:row>
      <xdr:rowOff>107950</xdr:rowOff>
    </xdr:to>
    <xdr:cxnSp macro="">
      <xdr:nvCxnSpPr>
        <xdr:cNvPr id="1453" name="AutoShape 197">
          <a:extLst>
            <a:ext uri="{FF2B5EF4-FFF2-40B4-BE49-F238E27FC236}">
              <a16:creationId xmlns:a16="http://schemas.microsoft.com/office/drawing/2014/main" id="{37A9BB44-A801-AD60-879E-CF577480F72E}"/>
            </a:ext>
          </a:extLst>
        </xdr:cNvPr>
        <xdr:cNvCxnSpPr>
          <a:cxnSpLocks noChangeShapeType="1"/>
          <a:stCxn id="1216" idx="3"/>
          <a:endCxn id="1220" idx="1"/>
        </xdr:cNvCxnSpPr>
      </xdr:nvCxnSpPr>
      <xdr:spPr bwMode="auto">
        <a:xfrm flipV="1">
          <a:off x="4826000" y="4159250"/>
          <a:ext cx="336550" cy="6350"/>
        </a:xfrm>
        <a:prstGeom prst="straightConnector1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0</xdr:row>
      <xdr:rowOff>0</xdr:rowOff>
    </xdr:from>
    <xdr:to>
      <xdr:col>25</xdr:col>
      <xdr:colOff>323850</xdr:colOff>
      <xdr:row>0</xdr:row>
      <xdr:rowOff>311150</xdr:rowOff>
    </xdr:to>
    <xdr:pic>
      <xdr:nvPicPr>
        <xdr:cNvPr id="3083" name="Picture 1" descr="http://www.isid.co.jp/images/logo/0001.gif">
          <a:extLst>
            <a:ext uri="{FF2B5EF4-FFF2-40B4-BE49-F238E27FC236}">
              <a16:creationId xmlns:a16="http://schemas.microsoft.com/office/drawing/2014/main" id="{41340062-B3B3-4BD3-F740-4FB5FE8E6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15300" y="0"/>
          <a:ext cx="13906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858440" cy="184666"/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FA5447C-8347-9DC7-5E16-629C8AD7A2D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  <a:endParaRPr lang="ja-JP" alt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0</xdr:row>
      <xdr:rowOff>0</xdr:rowOff>
    </xdr:from>
    <xdr:to>
      <xdr:col>25</xdr:col>
      <xdr:colOff>323850</xdr:colOff>
      <xdr:row>0</xdr:row>
      <xdr:rowOff>311150</xdr:rowOff>
    </xdr:to>
    <xdr:pic>
      <xdr:nvPicPr>
        <xdr:cNvPr id="4107" name="Picture 1" descr="http://www.isid.co.jp/images/logo/0001.gif">
          <a:extLst>
            <a:ext uri="{FF2B5EF4-FFF2-40B4-BE49-F238E27FC236}">
              <a16:creationId xmlns:a16="http://schemas.microsoft.com/office/drawing/2014/main" id="{78B776FB-EB6A-E76B-3B3E-269EB491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115300" y="0"/>
          <a:ext cx="13906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858440" cy="184666"/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794535BA-5723-519F-48F1-2D24994C1DD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858440" cy="184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管理区分：秘</a:t>
          </a:r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90000" mc:Ignorable="a14" a14:legacySpreadsheetColorIndex="41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90000" mc:Ignorable="a14" a14:legacySpreadsheetColorIndex="41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4C02-704B-4099-8B54-1EE74434DBD3}">
  <sheetPr codeName="Sheet2"/>
  <dimension ref="A1:Z59"/>
  <sheetViews>
    <sheetView view="pageBreakPreview" zoomScale="85" zoomScaleNormal="85" zoomScaleSheetLayoutView="85" workbookViewId="0">
      <pane ySplit="3" topLeftCell="A4" activePane="bottomLeft" state="frozen"/>
      <selection pane="bottomLeft" activeCell="W2" sqref="W2:Z2"/>
    </sheetView>
  </sheetViews>
  <sheetFormatPr defaultColWidth="9" defaultRowHeight="13" x14ac:dyDescent="0.2"/>
  <cols>
    <col min="1" max="11" width="5.26953125" customWidth="1"/>
    <col min="12" max="12" width="5.08984375" customWidth="1"/>
    <col min="13" max="25" width="5.26953125" customWidth="1"/>
    <col min="26" max="26" width="5.26953125" style="2" customWidth="1"/>
    <col min="27" max="16384" width="9" style="2"/>
  </cols>
  <sheetData>
    <row r="1" spans="1:26" ht="30" customHeight="1" thickBot="1" x14ac:dyDescent="0.25">
      <c r="Z1" s="1"/>
    </row>
    <row r="2" spans="1:26" ht="34.5" customHeight="1" x14ac:dyDescent="0.3">
      <c r="A2" s="3" t="s">
        <v>121</v>
      </c>
      <c r="B2" s="4"/>
      <c r="C2" s="5" t="s">
        <v>122</v>
      </c>
      <c r="D2" s="4"/>
      <c r="E2" s="4"/>
      <c r="F2" s="4"/>
      <c r="G2" s="4"/>
      <c r="H2" s="4"/>
      <c r="I2" s="4"/>
      <c r="J2" s="4"/>
      <c r="K2" s="4"/>
      <c r="L2" s="4"/>
      <c r="M2" s="4"/>
      <c r="N2" s="271" t="s">
        <v>254</v>
      </c>
      <c r="O2" s="272"/>
      <c r="P2" s="272"/>
      <c r="Q2" s="272"/>
      <c r="R2" s="272"/>
      <c r="S2" s="271" t="s">
        <v>251</v>
      </c>
      <c r="T2" s="271"/>
      <c r="U2" s="271"/>
      <c r="V2" s="271"/>
      <c r="W2" s="271" t="s">
        <v>250</v>
      </c>
      <c r="X2" s="271"/>
      <c r="Y2" s="271"/>
      <c r="Z2" s="271"/>
    </row>
    <row r="3" spans="1:26" ht="8.25" customHeight="1" x14ac:dyDescent="0.2">
      <c r="Z3"/>
    </row>
    <row r="4" spans="1:26" customFormat="1" ht="27.75" customHeight="1" x14ac:dyDescent="0.2">
      <c r="A4" s="134" t="s">
        <v>47</v>
      </c>
      <c r="B4" s="167"/>
      <c r="C4" s="135"/>
      <c r="D4" s="168" t="s">
        <v>252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73" t="s">
        <v>123</v>
      </c>
      <c r="S4" s="274"/>
      <c r="T4" s="169" t="s">
        <v>115</v>
      </c>
      <c r="U4" s="20"/>
      <c r="V4" s="20"/>
      <c r="W4" s="20"/>
      <c r="X4" s="20"/>
      <c r="Y4" s="20"/>
      <c r="Z4" s="21"/>
    </row>
    <row r="5" spans="1:26" x14ac:dyDescent="0.2">
      <c r="Z5"/>
    </row>
    <row r="6" spans="1:26" x14ac:dyDescent="0.2">
      <c r="A6" s="14" t="s">
        <v>124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/>
      <c r="O6" s="14" t="s">
        <v>125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1:26" x14ac:dyDescent="0.2">
      <c r="A7" s="170" t="s">
        <v>253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2"/>
      <c r="O7" s="170" t="s">
        <v>129</v>
      </c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2"/>
    </row>
    <row r="8" spans="1:26" x14ac:dyDescent="0.2">
      <c r="A8" s="173" t="s">
        <v>160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74"/>
      <c r="O8" s="173"/>
      <c r="P8" s="2"/>
      <c r="Q8" s="2"/>
      <c r="R8" s="2"/>
      <c r="S8" s="2"/>
      <c r="T8" s="2"/>
      <c r="U8" s="2"/>
      <c r="V8" s="2"/>
      <c r="W8" s="2"/>
      <c r="X8" s="2"/>
      <c r="Y8" s="2"/>
      <c r="Z8" s="174"/>
    </row>
    <row r="9" spans="1:26" x14ac:dyDescent="0.2">
      <c r="A9" s="175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76"/>
      <c r="O9" s="175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76"/>
    </row>
    <row r="10" spans="1:26" x14ac:dyDescent="0.2">
      <c r="A10" s="14" t="s">
        <v>126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</row>
    <row r="11" spans="1:26" x14ac:dyDescent="0.2">
      <c r="A11" s="173" t="s">
        <v>138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2"/>
    </row>
    <row r="12" spans="1:26" x14ac:dyDescent="0.2">
      <c r="A12" s="173" t="s">
        <v>139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74"/>
    </row>
    <row r="13" spans="1:26" x14ac:dyDescent="0.2">
      <c r="A13" s="17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74"/>
    </row>
    <row r="14" spans="1:26" x14ac:dyDescent="0.2">
      <c r="A14" s="17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74"/>
    </row>
    <row r="15" spans="1:26" x14ac:dyDescent="0.2">
      <c r="A15" s="17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74"/>
    </row>
    <row r="16" spans="1:26" x14ac:dyDescent="0.2">
      <c r="A16" s="17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74"/>
    </row>
    <row r="17" spans="1:26" x14ac:dyDescent="0.2">
      <c r="A17" s="17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74"/>
    </row>
    <row r="18" spans="1:26" x14ac:dyDescent="0.2">
      <c r="A18" s="14" t="s">
        <v>127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/>
    </row>
    <row r="19" spans="1:26" x14ac:dyDescent="0.2">
      <c r="A19" s="177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2"/>
    </row>
    <row r="20" spans="1:26" x14ac:dyDescent="0.2">
      <c r="A20" s="17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74"/>
    </row>
    <row r="21" spans="1:26" x14ac:dyDescent="0.2">
      <c r="A21" s="17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74"/>
    </row>
    <row r="22" spans="1:26" x14ac:dyDescent="0.2">
      <c r="A22" s="1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174"/>
    </row>
    <row r="23" spans="1:26" x14ac:dyDescent="0.2">
      <c r="A23" s="1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174"/>
    </row>
    <row r="24" spans="1:26" x14ac:dyDescent="0.2">
      <c r="A24" s="17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174"/>
    </row>
    <row r="25" spans="1:26" x14ac:dyDescent="0.2">
      <c r="A25" s="17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174"/>
    </row>
    <row r="26" spans="1:26" x14ac:dyDescent="0.2">
      <c r="A26" s="17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74"/>
    </row>
    <row r="27" spans="1:26" x14ac:dyDescent="0.2">
      <c r="A27" s="178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76"/>
    </row>
    <row r="28" spans="1:26" x14ac:dyDescent="0.2">
      <c r="Z28"/>
    </row>
    <row r="29" spans="1:26" x14ac:dyDescent="0.2">
      <c r="Z29"/>
    </row>
    <row r="30" spans="1:26" x14ac:dyDescent="0.2">
      <c r="Z30"/>
    </row>
    <row r="31" spans="1:26" x14ac:dyDescent="0.2">
      <c r="Z31"/>
    </row>
    <row r="32" spans="1:26" x14ac:dyDescent="0.2">
      <c r="Z32"/>
    </row>
    <row r="59" spans="26:26" x14ac:dyDescent="0.2">
      <c r="Z59" s="2" t="s">
        <v>128</v>
      </c>
    </row>
  </sheetData>
  <mergeCells count="4">
    <mergeCell ref="W2:Z2"/>
    <mergeCell ref="S2:V2"/>
    <mergeCell ref="N2:R2"/>
    <mergeCell ref="R4:S4"/>
  </mergeCells>
  <phoneticPr fontId="2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8E28-5CB2-4D0C-91EC-E7ADBFDDF043}">
  <dimension ref="A1"/>
  <sheetViews>
    <sheetView view="pageBreakPreview" topLeftCell="A92" zoomScaleNormal="85" workbookViewId="0">
      <selection activeCell="M132" sqref="M132"/>
    </sheetView>
  </sheetViews>
  <sheetFormatPr defaultRowHeight="13" x14ac:dyDescent="0.2"/>
  <sheetData/>
  <phoneticPr fontId="2"/>
  <pageMargins left="0.75" right="0.75" top="1" bottom="1" header="0.51200000000000001" footer="0.51200000000000001"/>
  <pageSetup paperSize="9" scale="40" orientation="portrait" r:id="rId1"/>
  <headerFooter alignWithMargins="0"/>
  <rowBreaks count="1" manualBreakCount="1">
    <brk id="140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32DC-61A1-41F4-B2FF-4DFD524925E8}">
  <dimension ref="A1:W61"/>
  <sheetViews>
    <sheetView tabSelected="1" view="pageBreakPreview" zoomScale="85" zoomScaleNormal="85" zoomScaleSheetLayoutView="85" workbookViewId="0">
      <pane ySplit="5" topLeftCell="A60" activePane="bottomLeft" state="frozen"/>
      <selection activeCell="H33" sqref="H33"/>
      <selection pane="bottomLeft" activeCell="G62" sqref="G62"/>
    </sheetView>
  </sheetViews>
  <sheetFormatPr defaultRowHeight="13" x14ac:dyDescent="0.2"/>
  <cols>
    <col min="1" max="1" width="3.453125" customWidth="1"/>
    <col min="2" max="2" width="11.36328125" bestFit="1" customWidth="1"/>
    <col min="3" max="3" width="8.08984375" bestFit="1" customWidth="1"/>
    <col min="4" max="4" width="8.7265625" bestFit="1" customWidth="1"/>
    <col min="5" max="6" width="4.7265625" bestFit="1" customWidth="1"/>
    <col min="7" max="7" width="48.26953125" customWidth="1"/>
    <col min="8" max="8" width="11.90625" customWidth="1"/>
    <col min="9" max="9" width="34.90625" customWidth="1"/>
    <col min="12" max="13" width="10.26953125" bestFit="1" customWidth="1"/>
    <col min="14" max="14" width="17.26953125" bestFit="1" customWidth="1"/>
    <col min="15" max="15" width="18.7265625" bestFit="1" customWidth="1"/>
    <col min="16" max="16" width="17.26953125" bestFit="1" customWidth="1"/>
    <col min="17" max="17" width="25.26953125" bestFit="1" customWidth="1"/>
    <col min="18" max="18" width="17.36328125" bestFit="1" customWidth="1"/>
    <col min="19" max="19" width="13.08984375" bestFit="1" customWidth="1"/>
    <col min="20" max="20" width="11.7265625" bestFit="1" customWidth="1"/>
    <col min="21" max="21" width="13" bestFit="1" customWidth="1"/>
    <col min="22" max="22" width="18.6328125" bestFit="1" customWidth="1"/>
    <col min="23" max="23" width="16.90625" bestFit="1" customWidth="1"/>
  </cols>
  <sheetData>
    <row r="1" spans="1:23" ht="30" customHeight="1" thickBot="1" x14ac:dyDescent="0.25"/>
    <row r="2" spans="1:23" ht="34.5" customHeight="1" x14ac:dyDescent="0.3">
      <c r="A2" s="3" t="s">
        <v>97</v>
      </c>
      <c r="B2" s="4"/>
      <c r="C2" s="3"/>
      <c r="D2" s="4"/>
      <c r="E2" s="4"/>
      <c r="F2" s="4"/>
      <c r="G2" s="4"/>
      <c r="H2" s="4"/>
      <c r="I2" s="4"/>
      <c r="J2" s="3" t="s">
        <v>200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8.25" customHeight="1" x14ac:dyDescent="0.2"/>
    <row r="4" spans="1:23" ht="27.75" customHeight="1" x14ac:dyDescent="0.2">
      <c r="A4" s="134" t="s">
        <v>47</v>
      </c>
      <c r="B4" s="135"/>
      <c r="C4" s="158" t="s">
        <v>252</v>
      </c>
      <c r="D4" s="20"/>
      <c r="E4" s="20"/>
      <c r="F4" s="20"/>
      <c r="G4" s="21"/>
      <c r="H4" s="136" t="s">
        <v>98</v>
      </c>
      <c r="I4" s="137" t="s">
        <v>115</v>
      </c>
      <c r="J4" s="257" t="s">
        <v>481</v>
      </c>
      <c r="K4" s="257" t="s">
        <v>482</v>
      </c>
      <c r="L4" s="257" t="s">
        <v>464</v>
      </c>
      <c r="M4" s="257" t="s">
        <v>465</v>
      </c>
      <c r="N4" s="257" t="s">
        <v>466</v>
      </c>
      <c r="O4" s="257" t="s">
        <v>467</v>
      </c>
      <c r="P4" s="257" t="s">
        <v>468</v>
      </c>
      <c r="Q4" s="257" t="s">
        <v>469</v>
      </c>
      <c r="R4" s="257" t="s">
        <v>470</v>
      </c>
      <c r="S4" s="257" t="s">
        <v>471</v>
      </c>
      <c r="T4" s="257" t="s">
        <v>473</v>
      </c>
      <c r="U4" s="257" t="s">
        <v>475</v>
      </c>
      <c r="V4" s="257" t="s">
        <v>476</v>
      </c>
      <c r="W4" s="257" t="s">
        <v>477</v>
      </c>
    </row>
    <row r="5" spans="1:23" x14ac:dyDescent="0.2">
      <c r="A5" s="138" t="s">
        <v>201</v>
      </c>
      <c r="B5" s="139" t="s">
        <v>202</v>
      </c>
      <c r="C5" s="139" t="s">
        <v>99</v>
      </c>
      <c r="D5" s="139" t="s">
        <v>100</v>
      </c>
      <c r="E5" s="138" t="s">
        <v>101</v>
      </c>
      <c r="F5" s="138" t="s">
        <v>102</v>
      </c>
      <c r="G5" s="138" t="s">
        <v>103</v>
      </c>
      <c r="H5" s="138" t="s">
        <v>104</v>
      </c>
      <c r="I5" s="138" t="s">
        <v>61</v>
      </c>
      <c r="J5" s="138" t="str">
        <f>CONCATENATE(画面構成!G4,"V","01")</f>
        <v>BEN016V01</v>
      </c>
      <c r="K5" s="138" t="str">
        <f>CONCATENATE(画面構成!G4,"V","02")</f>
        <v>BEN016V02</v>
      </c>
      <c r="L5" s="138" t="str">
        <f>CONCATENATE(画面構成!G4,"A","01")</f>
        <v>BEN016A01</v>
      </c>
      <c r="M5" s="138" t="str">
        <f>CONCATENATE(画面構成!G4,"A","02")</f>
        <v>BEN016A02</v>
      </c>
      <c r="N5" s="138" t="str">
        <f>CONCATENATE(画面構成!G4,"L","01")</f>
        <v>BEN016L01</v>
      </c>
      <c r="O5" s="138" t="str">
        <f>CONCATENATE(画面構成!G4,"L","02")</f>
        <v>BEN016L02</v>
      </c>
      <c r="P5" s="138" t="s">
        <v>41</v>
      </c>
      <c r="Q5" s="138" t="s">
        <v>42</v>
      </c>
      <c r="R5" s="138" t="s">
        <v>480</v>
      </c>
      <c r="S5" s="138" t="s">
        <v>472</v>
      </c>
      <c r="T5" s="138" t="s">
        <v>474</v>
      </c>
      <c r="U5" s="138" t="s">
        <v>203</v>
      </c>
      <c r="V5" s="138" t="s">
        <v>478</v>
      </c>
      <c r="W5" s="138" t="s">
        <v>479</v>
      </c>
    </row>
    <row r="6" spans="1:23" ht="24" x14ac:dyDescent="0.2">
      <c r="A6" s="140">
        <v>1</v>
      </c>
      <c r="B6" s="141" t="s">
        <v>105</v>
      </c>
      <c r="C6" s="142" t="s">
        <v>231</v>
      </c>
      <c r="D6" s="143"/>
      <c r="E6" s="144" t="s">
        <v>106</v>
      </c>
      <c r="F6" s="145" t="s">
        <v>107</v>
      </c>
      <c r="G6" s="146" t="s">
        <v>279</v>
      </c>
      <c r="H6" s="147"/>
      <c r="I6" s="146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</row>
    <row r="7" spans="1:23" ht="24" x14ac:dyDescent="0.2">
      <c r="A7" s="148"/>
      <c r="B7" s="149"/>
      <c r="C7" s="150" t="s">
        <v>206</v>
      </c>
      <c r="D7" s="151"/>
      <c r="E7" s="152"/>
      <c r="F7" s="145" t="s">
        <v>108</v>
      </c>
      <c r="G7" s="146" t="s">
        <v>274</v>
      </c>
      <c r="H7" s="147"/>
      <c r="I7" s="146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</row>
    <row r="8" spans="1:23" x14ac:dyDescent="0.2">
      <c r="A8" s="148"/>
      <c r="B8" s="149"/>
      <c r="C8" s="150" t="s">
        <v>207</v>
      </c>
      <c r="D8" s="153"/>
      <c r="E8" s="152"/>
      <c r="F8" s="145" t="s">
        <v>109</v>
      </c>
      <c r="G8" s="146" t="s">
        <v>275</v>
      </c>
      <c r="H8" s="147"/>
      <c r="I8" s="146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</row>
    <row r="9" spans="1:23" x14ac:dyDescent="0.2">
      <c r="A9" s="148"/>
      <c r="B9" s="149"/>
      <c r="C9" s="154"/>
      <c r="D9" s="142" t="s">
        <v>232</v>
      </c>
      <c r="E9" s="155" t="s">
        <v>208</v>
      </c>
      <c r="F9" s="155" t="s">
        <v>110</v>
      </c>
      <c r="G9" s="146" t="s">
        <v>319</v>
      </c>
      <c r="H9" s="147"/>
      <c r="I9" s="156"/>
      <c r="J9" s="199" t="s">
        <v>346</v>
      </c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</row>
    <row r="10" spans="1:23" ht="84" x14ac:dyDescent="0.2">
      <c r="A10" s="148"/>
      <c r="B10" s="149"/>
      <c r="C10" s="154"/>
      <c r="D10" s="142" t="s">
        <v>273</v>
      </c>
      <c r="E10" s="155" t="s">
        <v>208</v>
      </c>
      <c r="F10" s="155" t="s">
        <v>110</v>
      </c>
      <c r="G10" s="146" t="s">
        <v>283</v>
      </c>
      <c r="H10" s="147"/>
      <c r="I10" s="156"/>
      <c r="J10" s="199" t="s">
        <v>346</v>
      </c>
      <c r="K10" s="199"/>
      <c r="L10" s="199" t="s">
        <v>346</v>
      </c>
      <c r="M10" s="199"/>
      <c r="N10" s="199" t="s">
        <v>346</v>
      </c>
      <c r="O10" s="199"/>
      <c r="P10" s="199"/>
      <c r="Q10" s="199"/>
      <c r="R10" s="199"/>
      <c r="S10" s="199"/>
      <c r="T10" s="199"/>
      <c r="U10" s="199"/>
      <c r="V10" s="199"/>
      <c r="W10" s="199"/>
    </row>
    <row r="11" spans="1:23" ht="48" x14ac:dyDescent="0.2">
      <c r="A11" s="148"/>
      <c r="B11" s="149"/>
      <c r="C11" s="154"/>
      <c r="D11" s="142" t="s">
        <v>233</v>
      </c>
      <c r="E11" s="155" t="s">
        <v>209</v>
      </c>
      <c r="F11" s="155" t="s">
        <v>110</v>
      </c>
      <c r="G11" s="156" t="s">
        <v>276</v>
      </c>
      <c r="H11" s="234"/>
      <c r="I11" s="156"/>
      <c r="J11" s="199" t="s">
        <v>346</v>
      </c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</row>
    <row r="12" spans="1:23" ht="24" x14ac:dyDescent="0.2">
      <c r="A12" s="148"/>
      <c r="B12" s="149"/>
      <c r="C12" s="154"/>
      <c r="D12" s="142" t="s">
        <v>234</v>
      </c>
      <c r="E12" s="155" t="s">
        <v>209</v>
      </c>
      <c r="F12" s="155" t="s">
        <v>110</v>
      </c>
      <c r="G12" s="156" t="s">
        <v>303</v>
      </c>
      <c r="H12" s="234"/>
      <c r="I12" s="156"/>
      <c r="J12" s="199" t="s">
        <v>346</v>
      </c>
      <c r="K12" s="199"/>
      <c r="L12" s="199" t="s">
        <v>346</v>
      </c>
      <c r="M12" s="199"/>
      <c r="N12" s="199"/>
      <c r="O12" s="199"/>
      <c r="P12" s="199"/>
      <c r="Q12" s="199"/>
      <c r="R12" s="199" t="s">
        <v>346</v>
      </c>
      <c r="S12" s="199"/>
      <c r="T12" s="199"/>
      <c r="U12" s="199"/>
      <c r="V12" s="199"/>
      <c r="W12" s="199"/>
    </row>
    <row r="13" spans="1:23" ht="24" x14ac:dyDescent="0.2">
      <c r="A13" s="148"/>
      <c r="B13" s="149"/>
      <c r="C13" s="154"/>
      <c r="D13" s="142" t="s">
        <v>320</v>
      </c>
      <c r="E13" s="155" t="s">
        <v>209</v>
      </c>
      <c r="F13" s="155" t="s">
        <v>110</v>
      </c>
      <c r="G13" s="156" t="s">
        <v>304</v>
      </c>
      <c r="H13" s="234"/>
      <c r="I13" s="156"/>
      <c r="J13" s="199" t="s">
        <v>346</v>
      </c>
      <c r="K13" s="199"/>
      <c r="L13" s="199" t="s">
        <v>346</v>
      </c>
      <c r="M13" s="199"/>
      <c r="N13" s="199"/>
      <c r="O13" s="199"/>
      <c r="P13" s="199"/>
      <c r="Q13" s="199"/>
      <c r="R13" s="199" t="s">
        <v>346</v>
      </c>
      <c r="S13" s="199"/>
      <c r="T13" s="199"/>
      <c r="U13" s="199"/>
      <c r="V13" s="199"/>
      <c r="W13" s="199"/>
    </row>
    <row r="14" spans="1:23" ht="36" x14ac:dyDescent="0.2">
      <c r="A14" s="148"/>
      <c r="B14" s="149"/>
      <c r="C14" s="154"/>
      <c r="D14" s="142" t="s">
        <v>321</v>
      </c>
      <c r="E14" s="155" t="s">
        <v>209</v>
      </c>
      <c r="F14" s="155" t="s">
        <v>110</v>
      </c>
      <c r="G14" s="156" t="s">
        <v>284</v>
      </c>
      <c r="H14" s="234"/>
      <c r="I14" s="156"/>
      <c r="J14" s="199" t="s">
        <v>346</v>
      </c>
      <c r="K14" s="199"/>
      <c r="L14" s="199" t="s">
        <v>346</v>
      </c>
      <c r="M14" s="199"/>
      <c r="N14" s="199"/>
      <c r="O14" s="199"/>
      <c r="P14" s="199"/>
      <c r="Q14" s="199"/>
      <c r="R14" s="199"/>
      <c r="S14" s="199"/>
      <c r="T14" s="199"/>
      <c r="U14" s="199" t="s">
        <v>346</v>
      </c>
      <c r="V14" s="199" t="s">
        <v>346</v>
      </c>
      <c r="W14" s="199"/>
    </row>
    <row r="15" spans="1:23" ht="24" x14ac:dyDescent="0.2">
      <c r="A15" s="148"/>
      <c r="B15" s="149"/>
      <c r="C15" s="154"/>
      <c r="D15" s="142" t="s">
        <v>322</v>
      </c>
      <c r="E15" s="155" t="s">
        <v>209</v>
      </c>
      <c r="F15" s="155" t="s">
        <v>110</v>
      </c>
      <c r="G15" s="156" t="s">
        <v>288</v>
      </c>
      <c r="H15" s="234"/>
      <c r="I15" s="156"/>
      <c r="J15" s="199" t="s">
        <v>346</v>
      </c>
      <c r="K15" s="199"/>
      <c r="L15" s="199" t="s">
        <v>346</v>
      </c>
      <c r="M15" s="199"/>
      <c r="N15" s="199"/>
      <c r="O15" s="199"/>
      <c r="P15" s="199"/>
      <c r="Q15" s="199"/>
      <c r="R15" s="199"/>
      <c r="S15" s="199"/>
      <c r="T15" s="199"/>
      <c r="U15" s="199" t="s">
        <v>346</v>
      </c>
      <c r="V15" s="199" t="s">
        <v>346</v>
      </c>
      <c r="W15" s="199"/>
    </row>
    <row r="16" spans="1:23" x14ac:dyDescent="0.2">
      <c r="A16" s="148"/>
      <c r="B16" s="180"/>
      <c r="C16" s="142" t="s">
        <v>323</v>
      </c>
      <c r="D16" s="184"/>
      <c r="E16" s="185" t="s">
        <v>114</v>
      </c>
      <c r="F16" s="186" t="s">
        <v>107</v>
      </c>
      <c r="G16" s="146" t="s">
        <v>280</v>
      </c>
      <c r="H16" s="188"/>
      <c r="I16" s="187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</row>
    <row r="17" spans="1:23" x14ac:dyDescent="0.2">
      <c r="A17" s="148"/>
      <c r="B17" s="149"/>
      <c r="C17" s="150"/>
      <c r="D17" s="189"/>
      <c r="E17" s="190"/>
      <c r="F17" s="186" t="s">
        <v>108</v>
      </c>
      <c r="G17" s="146" t="s">
        <v>40</v>
      </c>
      <c r="H17" s="188"/>
      <c r="I17" s="187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</row>
    <row r="18" spans="1:23" x14ac:dyDescent="0.2">
      <c r="A18" s="148"/>
      <c r="B18" s="149"/>
      <c r="C18" s="150"/>
      <c r="D18" s="191"/>
      <c r="E18" s="192"/>
      <c r="F18" s="186" t="s">
        <v>109</v>
      </c>
      <c r="G18" s="187"/>
      <c r="H18" s="188"/>
      <c r="I18" s="187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</row>
    <row r="19" spans="1:23" ht="37.5" customHeight="1" x14ac:dyDescent="0.2">
      <c r="A19" s="148"/>
      <c r="B19" s="149"/>
      <c r="C19" s="154" t="s">
        <v>210</v>
      </c>
      <c r="D19" s="142" t="s">
        <v>325</v>
      </c>
      <c r="E19" s="185" t="s">
        <v>205</v>
      </c>
      <c r="F19" s="193" t="s">
        <v>110</v>
      </c>
      <c r="G19" s="194" t="s">
        <v>291</v>
      </c>
      <c r="H19" s="188"/>
      <c r="I19" s="183"/>
      <c r="J19" s="199" t="s">
        <v>346</v>
      </c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</row>
    <row r="20" spans="1:23" ht="37.5" customHeight="1" x14ac:dyDescent="0.2">
      <c r="A20" s="148"/>
      <c r="B20" s="149"/>
      <c r="C20" s="154" t="s">
        <v>211</v>
      </c>
      <c r="D20" s="142" t="s">
        <v>326</v>
      </c>
      <c r="E20" s="185" t="s">
        <v>205</v>
      </c>
      <c r="F20" s="193" t="s">
        <v>110</v>
      </c>
      <c r="G20" s="194" t="s">
        <v>331</v>
      </c>
      <c r="H20" s="188"/>
      <c r="I20" s="183"/>
      <c r="J20" s="199" t="s">
        <v>346</v>
      </c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</row>
    <row r="21" spans="1:23" ht="37.5" customHeight="1" x14ac:dyDescent="0.2">
      <c r="A21" s="148"/>
      <c r="B21" s="149"/>
      <c r="C21" s="154" t="s">
        <v>211</v>
      </c>
      <c r="D21" s="142" t="s">
        <v>327</v>
      </c>
      <c r="E21" s="185" t="s">
        <v>113</v>
      </c>
      <c r="F21" s="193" t="s">
        <v>110</v>
      </c>
      <c r="G21" s="194" t="s">
        <v>292</v>
      </c>
      <c r="H21" s="188"/>
      <c r="I21" s="183"/>
      <c r="J21" s="199" t="s">
        <v>346</v>
      </c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</row>
    <row r="22" spans="1:23" ht="37.5" customHeight="1" x14ac:dyDescent="0.2">
      <c r="A22" s="148"/>
      <c r="B22" s="149"/>
      <c r="C22" s="154" t="s">
        <v>211</v>
      </c>
      <c r="D22" s="142" t="s">
        <v>328</v>
      </c>
      <c r="E22" s="155" t="s">
        <v>113</v>
      </c>
      <c r="F22" s="155" t="s">
        <v>110</v>
      </c>
      <c r="G22" s="194" t="s">
        <v>293</v>
      </c>
      <c r="H22" s="234"/>
      <c r="I22" s="156"/>
      <c r="J22" s="199" t="s">
        <v>346</v>
      </c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</row>
    <row r="23" spans="1:23" ht="35.25" customHeight="1" x14ac:dyDescent="0.2">
      <c r="A23" s="148"/>
      <c r="B23" s="149"/>
      <c r="C23" s="154"/>
      <c r="D23" s="142" t="s">
        <v>329</v>
      </c>
      <c r="E23" s="155" t="s">
        <v>205</v>
      </c>
      <c r="F23" s="155" t="s">
        <v>110</v>
      </c>
      <c r="G23" s="156" t="s">
        <v>277</v>
      </c>
      <c r="H23" s="234"/>
      <c r="I23" s="156"/>
      <c r="J23" s="199" t="s">
        <v>346</v>
      </c>
      <c r="K23" s="199"/>
      <c r="L23" s="199" t="s">
        <v>346</v>
      </c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</row>
    <row r="24" spans="1:23" ht="35.25" customHeight="1" x14ac:dyDescent="0.2">
      <c r="A24" s="148"/>
      <c r="B24" s="149"/>
      <c r="C24" s="154"/>
      <c r="D24" s="142" t="s">
        <v>330</v>
      </c>
      <c r="E24" s="155" t="s">
        <v>205</v>
      </c>
      <c r="F24" s="155" t="s">
        <v>110</v>
      </c>
      <c r="G24" s="156" t="s">
        <v>318</v>
      </c>
      <c r="H24" s="234"/>
      <c r="I24" s="156"/>
      <c r="J24" s="199" t="s">
        <v>346</v>
      </c>
      <c r="K24" s="199"/>
      <c r="L24" s="199" t="s">
        <v>346</v>
      </c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</row>
    <row r="25" spans="1:23" x14ac:dyDescent="0.2">
      <c r="A25" s="148"/>
      <c r="B25" s="180"/>
      <c r="C25" s="142" t="s">
        <v>324</v>
      </c>
      <c r="D25" s="143"/>
      <c r="E25" s="144" t="s">
        <v>212</v>
      </c>
      <c r="F25" s="145" t="s">
        <v>107</v>
      </c>
      <c r="G25" s="146" t="s">
        <v>131</v>
      </c>
      <c r="H25" s="147"/>
      <c r="I25" s="146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</row>
    <row r="26" spans="1:23" x14ac:dyDescent="0.2">
      <c r="A26" s="148"/>
      <c r="B26" s="149"/>
      <c r="C26" s="150"/>
      <c r="D26" s="182"/>
      <c r="E26" s="152"/>
      <c r="F26" s="145" t="s">
        <v>108</v>
      </c>
      <c r="G26" s="146" t="s">
        <v>130</v>
      </c>
      <c r="H26" s="147"/>
      <c r="I26" s="146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</row>
    <row r="27" spans="1:23" x14ac:dyDescent="0.2">
      <c r="A27" s="148"/>
      <c r="B27" s="149"/>
      <c r="C27" s="150"/>
      <c r="D27" s="181"/>
      <c r="E27" s="152"/>
      <c r="F27" s="145" t="s">
        <v>109</v>
      </c>
      <c r="G27" s="146"/>
      <c r="H27" s="147"/>
      <c r="I27" s="146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</row>
    <row r="28" spans="1:23" ht="60" x14ac:dyDescent="0.2">
      <c r="A28" s="148"/>
      <c r="B28" s="149"/>
      <c r="C28" s="154"/>
      <c r="D28" s="142" t="s">
        <v>281</v>
      </c>
      <c r="E28" s="155" t="s">
        <v>113</v>
      </c>
      <c r="F28" s="155" t="s">
        <v>110</v>
      </c>
      <c r="G28" s="156" t="s">
        <v>286</v>
      </c>
      <c r="H28" s="234"/>
      <c r="I28" s="156"/>
      <c r="J28" s="199" t="s">
        <v>346</v>
      </c>
      <c r="K28" s="199"/>
      <c r="L28" s="199" t="s">
        <v>346</v>
      </c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</row>
    <row r="29" spans="1:23" ht="36" x14ac:dyDescent="0.2">
      <c r="A29" s="148"/>
      <c r="B29" s="149"/>
      <c r="C29" s="154"/>
      <c r="D29" s="142" t="s">
        <v>282</v>
      </c>
      <c r="E29" s="155" t="s">
        <v>113</v>
      </c>
      <c r="F29" s="155" t="s">
        <v>110</v>
      </c>
      <c r="G29" s="156" t="s">
        <v>285</v>
      </c>
      <c r="H29" s="234"/>
      <c r="I29" s="156"/>
      <c r="J29" s="199" t="s">
        <v>346</v>
      </c>
      <c r="K29" s="199"/>
      <c r="L29" s="199" t="s">
        <v>346</v>
      </c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</row>
    <row r="30" spans="1:23" ht="36" x14ac:dyDescent="0.2">
      <c r="A30" s="148"/>
      <c r="B30" s="149"/>
      <c r="C30" s="154"/>
      <c r="D30" s="242" t="s">
        <v>282</v>
      </c>
      <c r="E30" s="155" t="s">
        <v>113</v>
      </c>
      <c r="F30" s="155" t="s">
        <v>110</v>
      </c>
      <c r="G30" s="156" t="s">
        <v>332</v>
      </c>
      <c r="H30" s="243"/>
      <c r="I30" s="156"/>
      <c r="J30" s="199" t="s">
        <v>346</v>
      </c>
      <c r="K30" s="199"/>
      <c r="L30" s="199" t="s">
        <v>346</v>
      </c>
      <c r="M30" s="199"/>
      <c r="N30" s="199"/>
      <c r="O30" s="199" t="s">
        <v>346</v>
      </c>
      <c r="P30" s="199"/>
      <c r="Q30" s="199"/>
      <c r="R30" s="199"/>
      <c r="S30" s="199"/>
      <c r="T30" s="199" t="s">
        <v>346</v>
      </c>
      <c r="U30" s="199"/>
      <c r="V30" s="199"/>
      <c r="W30" s="199"/>
    </row>
    <row r="31" spans="1:23" ht="24" x14ac:dyDescent="0.2">
      <c r="A31" s="148"/>
      <c r="B31" s="149"/>
      <c r="C31" s="142" t="s">
        <v>213</v>
      </c>
      <c r="D31" s="143"/>
      <c r="E31" s="144" t="s">
        <v>113</v>
      </c>
      <c r="F31" s="145" t="s">
        <v>107</v>
      </c>
      <c r="G31" s="146" t="s">
        <v>141</v>
      </c>
      <c r="H31" s="147"/>
      <c r="I31" s="146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</row>
    <row r="32" spans="1:23" ht="24" x14ac:dyDescent="0.2">
      <c r="A32" s="148"/>
      <c r="B32" s="149"/>
      <c r="C32" s="150" t="s">
        <v>155</v>
      </c>
      <c r="D32" s="151"/>
      <c r="E32" s="152"/>
      <c r="F32" s="145" t="s">
        <v>108</v>
      </c>
      <c r="G32" s="146" t="s">
        <v>142</v>
      </c>
      <c r="H32" s="147"/>
      <c r="I32" s="146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</row>
    <row r="33" spans="1:23" x14ac:dyDescent="0.2">
      <c r="A33" s="148"/>
      <c r="B33" s="149"/>
      <c r="C33" s="150" t="s">
        <v>155</v>
      </c>
      <c r="D33" s="153"/>
      <c r="E33" s="152"/>
      <c r="F33" s="145" t="s">
        <v>109</v>
      </c>
      <c r="G33" s="146" t="s">
        <v>143</v>
      </c>
      <c r="H33" s="147"/>
      <c r="I33" s="146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</row>
    <row r="34" spans="1:23" ht="24" x14ac:dyDescent="0.2">
      <c r="A34" s="148"/>
      <c r="B34" s="149"/>
      <c r="C34" s="150" t="s">
        <v>155</v>
      </c>
      <c r="D34" s="142" t="s">
        <v>214</v>
      </c>
      <c r="E34" s="144" t="s">
        <v>156</v>
      </c>
      <c r="F34" s="145" t="s">
        <v>110</v>
      </c>
      <c r="G34" s="146" t="s">
        <v>158</v>
      </c>
      <c r="H34" s="147"/>
      <c r="I34" s="146"/>
      <c r="J34" s="199" t="s">
        <v>346</v>
      </c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</row>
    <row r="35" spans="1:23" ht="36" x14ac:dyDescent="0.2">
      <c r="A35" s="148"/>
      <c r="B35" s="149"/>
      <c r="C35" s="150" t="s">
        <v>155</v>
      </c>
      <c r="D35" s="142" t="s">
        <v>215</v>
      </c>
      <c r="E35" s="144" t="s">
        <v>216</v>
      </c>
      <c r="F35" s="145" t="s">
        <v>110</v>
      </c>
      <c r="G35" s="156" t="s">
        <v>287</v>
      </c>
      <c r="H35" s="147"/>
      <c r="I35" s="146"/>
      <c r="J35" s="199"/>
      <c r="K35" s="199" t="s">
        <v>346</v>
      </c>
      <c r="L35" s="199"/>
      <c r="M35" s="199" t="s">
        <v>346</v>
      </c>
      <c r="N35" s="199"/>
      <c r="O35" s="199"/>
      <c r="P35" s="199"/>
      <c r="Q35" s="199"/>
      <c r="R35" s="199"/>
      <c r="S35" s="199"/>
      <c r="T35" s="199"/>
      <c r="U35" s="199" t="s">
        <v>346</v>
      </c>
      <c r="V35" s="199" t="s">
        <v>346</v>
      </c>
      <c r="W35" s="199"/>
    </row>
    <row r="36" spans="1:23" ht="24" x14ac:dyDescent="0.2">
      <c r="A36" s="210"/>
      <c r="B36" s="211"/>
      <c r="C36" s="212" t="s">
        <v>155</v>
      </c>
      <c r="D36" s="213" t="s">
        <v>217</v>
      </c>
      <c r="E36" s="155" t="s">
        <v>218</v>
      </c>
      <c r="F36" s="214" t="s">
        <v>110</v>
      </c>
      <c r="G36" s="156" t="s">
        <v>157</v>
      </c>
      <c r="H36" s="215"/>
      <c r="I36" s="156"/>
      <c r="J36" s="199"/>
      <c r="K36" s="199" t="s">
        <v>346</v>
      </c>
      <c r="L36" s="199"/>
      <c r="M36" s="199" t="s">
        <v>346</v>
      </c>
      <c r="N36" s="199"/>
      <c r="O36" s="199"/>
      <c r="P36" s="199" t="s">
        <v>346</v>
      </c>
      <c r="Q36" s="199"/>
      <c r="R36" s="199"/>
      <c r="S36" s="199"/>
      <c r="T36" s="199"/>
      <c r="U36" s="199" t="s">
        <v>346</v>
      </c>
      <c r="V36" s="199" t="s">
        <v>346</v>
      </c>
      <c r="W36" s="199"/>
    </row>
    <row r="37" spans="1:23" ht="24" x14ac:dyDescent="0.2">
      <c r="A37" s="140">
        <v>2</v>
      </c>
      <c r="B37" s="141" t="s">
        <v>146</v>
      </c>
      <c r="C37" s="142" t="s">
        <v>219</v>
      </c>
      <c r="D37" s="143"/>
      <c r="E37" s="144" t="s">
        <v>216</v>
      </c>
      <c r="F37" s="145" t="s">
        <v>107</v>
      </c>
      <c r="G37" s="146" t="s">
        <v>0</v>
      </c>
      <c r="H37" s="147"/>
      <c r="I37" s="146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</row>
    <row r="38" spans="1:23" x14ac:dyDescent="0.2">
      <c r="A38" s="148"/>
      <c r="B38" s="149"/>
      <c r="C38" s="150" t="s">
        <v>220</v>
      </c>
      <c r="D38" s="151"/>
      <c r="E38" s="152"/>
      <c r="F38" s="145" t="s">
        <v>108</v>
      </c>
      <c r="G38" s="146" t="s">
        <v>147</v>
      </c>
      <c r="H38" s="147"/>
      <c r="I38" s="146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</row>
    <row r="39" spans="1:23" x14ac:dyDescent="0.2">
      <c r="A39" s="148"/>
      <c r="B39" s="149"/>
      <c r="C39" s="150" t="s">
        <v>221</v>
      </c>
      <c r="D39" s="153"/>
      <c r="E39" s="152"/>
      <c r="F39" s="145" t="s">
        <v>109</v>
      </c>
      <c r="G39" s="146"/>
      <c r="H39" s="147"/>
      <c r="I39" s="146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</row>
    <row r="40" spans="1:23" ht="24" x14ac:dyDescent="0.2">
      <c r="A40" s="148"/>
      <c r="B40" s="149"/>
      <c r="C40" s="150" t="s">
        <v>222</v>
      </c>
      <c r="D40" s="142" t="s">
        <v>223</v>
      </c>
      <c r="E40" s="144" t="s">
        <v>205</v>
      </c>
      <c r="F40" s="145" t="s">
        <v>110</v>
      </c>
      <c r="G40" s="146" t="s">
        <v>305</v>
      </c>
      <c r="H40" s="147"/>
      <c r="I40" s="146"/>
      <c r="J40" s="199"/>
      <c r="K40" s="199" t="s">
        <v>346</v>
      </c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</row>
    <row r="41" spans="1:23" ht="96" x14ac:dyDescent="0.2">
      <c r="A41" s="148"/>
      <c r="B41" s="149"/>
      <c r="C41" s="150" t="s">
        <v>120</v>
      </c>
      <c r="D41" s="142" t="s">
        <v>235</v>
      </c>
      <c r="E41" s="144" t="s">
        <v>154</v>
      </c>
      <c r="F41" s="145" t="s">
        <v>110</v>
      </c>
      <c r="G41" s="146" t="s">
        <v>2</v>
      </c>
      <c r="H41" s="147"/>
      <c r="I41" s="146"/>
      <c r="J41" s="199"/>
      <c r="K41" s="199" t="s">
        <v>346</v>
      </c>
      <c r="L41" s="199"/>
      <c r="M41" s="199" t="s">
        <v>346</v>
      </c>
      <c r="N41" s="199" t="s">
        <v>346</v>
      </c>
      <c r="O41" s="199"/>
      <c r="P41" s="199"/>
      <c r="Q41" s="199"/>
      <c r="R41" s="199"/>
      <c r="S41" s="199"/>
      <c r="T41" s="199"/>
      <c r="U41" s="199"/>
      <c r="V41" s="199"/>
      <c r="W41" s="199"/>
    </row>
    <row r="42" spans="1:23" ht="24" x14ac:dyDescent="0.2">
      <c r="A42" s="148"/>
      <c r="B42" s="149"/>
      <c r="C42" s="150" t="s">
        <v>120</v>
      </c>
      <c r="D42" s="142" t="s">
        <v>296</v>
      </c>
      <c r="E42" s="144" t="s">
        <v>154</v>
      </c>
      <c r="F42" s="145" t="s">
        <v>110</v>
      </c>
      <c r="G42" s="146" t="s">
        <v>295</v>
      </c>
      <c r="H42" s="147"/>
      <c r="I42" s="146"/>
      <c r="J42" s="199"/>
      <c r="K42" s="199" t="s">
        <v>346</v>
      </c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</row>
    <row r="43" spans="1:23" ht="24" x14ac:dyDescent="0.2">
      <c r="A43" s="148"/>
      <c r="B43" s="149"/>
      <c r="C43" s="150" t="s">
        <v>220</v>
      </c>
      <c r="D43" s="142" t="s">
        <v>236</v>
      </c>
      <c r="E43" s="144" t="s">
        <v>209</v>
      </c>
      <c r="F43" s="145" t="s">
        <v>110</v>
      </c>
      <c r="G43" s="157" t="s">
        <v>1</v>
      </c>
      <c r="H43" s="147"/>
      <c r="I43" s="146"/>
      <c r="J43" s="199"/>
      <c r="K43" s="199" t="s">
        <v>346</v>
      </c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</row>
    <row r="44" spans="1:23" ht="36" x14ac:dyDescent="0.2">
      <c r="A44" s="148"/>
      <c r="B44" s="149"/>
      <c r="C44" s="150"/>
      <c r="D44" s="142" t="s">
        <v>237</v>
      </c>
      <c r="E44" s="144" t="s">
        <v>114</v>
      </c>
      <c r="F44" s="145" t="s">
        <v>110</v>
      </c>
      <c r="G44" s="157" t="s">
        <v>311</v>
      </c>
      <c r="H44" s="147"/>
      <c r="I44" s="146" t="s">
        <v>306</v>
      </c>
      <c r="J44" s="199"/>
      <c r="K44" s="199" t="s">
        <v>346</v>
      </c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</row>
    <row r="45" spans="1:23" ht="36" x14ac:dyDescent="0.2">
      <c r="A45" s="148"/>
      <c r="B45" s="149"/>
      <c r="C45" s="150"/>
      <c r="D45" s="142" t="s">
        <v>238</v>
      </c>
      <c r="E45" s="144" t="s">
        <v>204</v>
      </c>
      <c r="F45" s="145" t="s">
        <v>110</v>
      </c>
      <c r="G45" s="157" t="s">
        <v>312</v>
      </c>
      <c r="H45" s="147"/>
      <c r="I45" s="146" t="s">
        <v>306</v>
      </c>
      <c r="J45" s="199"/>
      <c r="K45" s="199" t="s">
        <v>346</v>
      </c>
      <c r="L45" s="199"/>
      <c r="M45" s="199"/>
      <c r="N45" s="199"/>
      <c r="O45" s="199"/>
      <c r="P45" s="199" t="s">
        <v>346</v>
      </c>
      <c r="Q45" s="199"/>
      <c r="R45" s="199"/>
      <c r="S45" s="199"/>
      <c r="T45" s="199"/>
      <c r="U45" s="199" t="s">
        <v>346</v>
      </c>
      <c r="V45" s="199"/>
      <c r="W45" s="199"/>
    </row>
    <row r="46" spans="1:23" ht="36" x14ac:dyDescent="0.2">
      <c r="A46" s="148"/>
      <c r="B46" s="149"/>
      <c r="C46" s="150"/>
      <c r="D46" s="142" t="s">
        <v>239</v>
      </c>
      <c r="E46" s="144" t="s">
        <v>208</v>
      </c>
      <c r="F46" s="145" t="s">
        <v>110</v>
      </c>
      <c r="G46" s="157" t="s">
        <v>313</v>
      </c>
      <c r="H46" s="147"/>
      <c r="I46" s="146" t="s">
        <v>306</v>
      </c>
      <c r="J46" s="199"/>
      <c r="K46" s="199" t="s">
        <v>346</v>
      </c>
      <c r="L46" s="199"/>
      <c r="M46" s="199"/>
      <c r="N46" s="199"/>
      <c r="O46" s="199"/>
      <c r="P46" s="199" t="s">
        <v>346</v>
      </c>
      <c r="Q46" s="199"/>
      <c r="R46" s="199"/>
      <c r="S46" s="199"/>
      <c r="T46" s="199"/>
      <c r="U46" s="199" t="s">
        <v>346</v>
      </c>
      <c r="V46" s="199"/>
      <c r="W46" s="199"/>
    </row>
    <row r="47" spans="1:23" ht="36" x14ac:dyDescent="0.2">
      <c r="A47" s="148"/>
      <c r="B47" s="149"/>
      <c r="C47" s="150" t="s">
        <v>111</v>
      </c>
      <c r="D47" s="142" t="s">
        <v>240</v>
      </c>
      <c r="E47" s="144" t="s">
        <v>112</v>
      </c>
      <c r="F47" s="145" t="s">
        <v>110</v>
      </c>
      <c r="G47" s="157" t="s">
        <v>307</v>
      </c>
      <c r="H47" s="147"/>
      <c r="I47" s="146" t="s">
        <v>306</v>
      </c>
      <c r="J47" s="199"/>
      <c r="K47" s="199" t="s">
        <v>346</v>
      </c>
      <c r="L47" s="199"/>
      <c r="M47" s="199"/>
      <c r="N47" s="199"/>
      <c r="O47" s="199"/>
      <c r="P47" s="199" t="s">
        <v>346</v>
      </c>
      <c r="Q47" s="199"/>
      <c r="R47" s="199"/>
      <c r="S47" s="199"/>
      <c r="T47" s="199"/>
      <c r="U47" s="199" t="s">
        <v>346</v>
      </c>
      <c r="V47" s="199"/>
      <c r="W47" s="199"/>
    </row>
    <row r="48" spans="1:23" x14ac:dyDescent="0.2">
      <c r="A48" s="148"/>
      <c r="B48" s="149"/>
      <c r="C48" s="150"/>
      <c r="D48" s="142" t="s">
        <v>241</v>
      </c>
      <c r="E48" s="144" t="s">
        <v>224</v>
      </c>
      <c r="F48" s="145" t="s">
        <v>110</v>
      </c>
      <c r="G48" s="157" t="s">
        <v>161</v>
      </c>
      <c r="H48" s="147"/>
      <c r="I48" s="146"/>
      <c r="J48" s="199"/>
      <c r="K48" s="199" t="s">
        <v>346</v>
      </c>
      <c r="L48" s="199"/>
      <c r="M48" s="199"/>
      <c r="N48" s="199"/>
      <c r="O48" s="199"/>
      <c r="P48" s="199" t="s">
        <v>346</v>
      </c>
      <c r="Q48" s="199"/>
      <c r="R48" s="199"/>
      <c r="S48" s="199"/>
      <c r="T48" s="199"/>
      <c r="U48" s="199" t="s">
        <v>346</v>
      </c>
      <c r="V48" s="199" t="s">
        <v>346</v>
      </c>
      <c r="W48" s="199"/>
    </row>
    <row r="49" spans="1:23" ht="48" customHeight="1" x14ac:dyDescent="0.2">
      <c r="A49" s="148"/>
      <c r="B49" s="149"/>
      <c r="C49" s="150"/>
      <c r="D49" s="142" t="s">
        <v>242</v>
      </c>
      <c r="E49" s="144" t="s">
        <v>224</v>
      </c>
      <c r="F49" s="145" t="s">
        <v>110</v>
      </c>
      <c r="G49" s="157" t="s">
        <v>314</v>
      </c>
      <c r="H49" s="147"/>
      <c r="I49" s="146" t="s">
        <v>306</v>
      </c>
      <c r="J49" s="199"/>
      <c r="K49" s="199" t="s">
        <v>346</v>
      </c>
      <c r="L49" s="199"/>
      <c r="M49" s="199"/>
      <c r="N49" s="199"/>
      <c r="O49" s="199"/>
      <c r="P49" s="199" t="s">
        <v>346</v>
      </c>
      <c r="Q49" s="199"/>
      <c r="R49" s="199"/>
      <c r="S49" s="199"/>
      <c r="T49" s="199"/>
      <c r="U49" s="199"/>
      <c r="V49" s="199" t="s">
        <v>346</v>
      </c>
      <c r="W49" s="199"/>
    </row>
    <row r="50" spans="1:23" s="270" customFormat="1" ht="48" x14ac:dyDescent="0.2">
      <c r="A50" s="260"/>
      <c r="B50" s="261"/>
      <c r="C50" s="262" t="s">
        <v>111</v>
      </c>
      <c r="D50" s="263" t="s">
        <v>243</v>
      </c>
      <c r="E50" s="264" t="s">
        <v>112</v>
      </c>
      <c r="F50" s="265" t="s">
        <v>110</v>
      </c>
      <c r="G50" s="266" t="s">
        <v>521</v>
      </c>
      <c r="H50" s="267" t="s">
        <v>523</v>
      </c>
      <c r="I50" s="268" t="s">
        <v>522</v>
      </c>
      <c r="J50" s="269"/>
      <c r="K50" s="269" t="s">
        <v>346</v>
      </c>
      <c r="L50" s="269"/>
      <c r="M50" s="269"/>
      <c r="N50" s="269"/>
      <c r="O50" s="269"/>
      <c r="P50" s="269" t="s">
        <v>346</v>
      </c>
      <c r="Q50" s="269"/>
      <c r="R50" s="269"/>
      <c r="S50" s="269"/>
      <c r="T50" s="269"/>
      <c r="U50" s="269"/>
      <c r="V50" s="269" t="s">
        <v>346</v>
      </c>
      <c r="W50" s="269"/>
    </row>
    <row r="51" spans="1:23" ht="36" customHeight="1" x14ac:dyDescent="0.2">
      <c r="A51" s="148"/>
      <c r="B51" s="149"/>
      <c r="C51" s="150" t="s">
        <v>289</v>
      </c>
      <c r="D51" s="142" t="s">
        <v>299</v>
      </c>
      <c r="E51" s="144" t="s">
        <v>290</v>
      </c>
      <c r="F51" s="145" t="s">
        <v>110</v>
      </c>
      <c r="G51" s="157" t="s">
        <v>315</v>
      </c>
      <c r="H51" s="234"/>
      <c r="I51" s="146"/>
      <c r="J51" s="199"/>
      <c r="K51" s="199" t="s">
        <v>346</v>
      </c>
      <c r="L51" s="199"/>
      <c r="M51" s="199"/>
      <c r="N51" s="199"/>
      <c r="O51" s="199"/>
      <c r="P51" s="199" t="s">
        <v>346</v>
      </c>
      <c r="Q51" s="199"/>
      <c r="R51" s="199"/>
      <c r="S51" s="199"/>
      <c r="T51" s="199"/>
      <c r="U51" s="199"/>
      <c r="V51" s="199" t="s">
        <v>346</v>
      </c>
      <c r="W51" s="199"/>
    </row>
    <row r="52" spans="1:23" ht="24" x14ac:dyDescent="0.2">
      <c r="A52" s="148"/>
      <c r="B52" s="149"/>
      <c r="C52" s="150"/>
      <c r="D52" s="142" t="s">
        <v>300</v>
      </c>
      <c r="E52" s="144" t="s">
        <v>216</v>
      </c>
      <c r="F52" s="145" t="s">
        <v>110</v>
      </c>
      <c r="G52" s="146" t="s">
        <v>309</v>
      </c>
      <c r="H52" s="147"/>
      <c r="I52" s="146"/>
      <c r="J52" s="199"/>
      <c r="K52" s="199" t="s">
        <v>346</v>
      </c>
      <c r="L52" s="199"/>
      <c r="M52" s="199"/>
      <c r="N52" s="199"/>
      <c r="O52" s="199"/>
      <c r="P52" s="199" t="s">
        <v>346</v>
      </c>
      <c r="Q52" s="199"/>
      <c r="R52" s="199"/>
      <c r="S52" s="199"/>
      <c r="T52" s="199"/>
      <c r="U52" s="199"/>
      <c r="V52" s="199" t="s">
        <v>346</v>
      </c>
      <c r="W52" s="199"/>
    </row>
    <row r="53" spans="1:23" ht="24" x14ac:dyDescent="0.2">
      <c r="A53" s="148"/>
      <c r="B53" s="149"/>
      <c r="C53" s="150"/>
      <c r="D53" s="142" t="s">
        <v>301</v>
      </c>
      <c r="E53" s="144" t="s">
        <v>106</v>
      </c>
      <c r="F53" s="145" t="s">
        <v>110</v>
      </c>
      <c r="G53" s="146" t="s">
        <v>310</v>
      </c>
      <c r="H53" s="147"/>
      <c r="I53" s="146"/>
      <c r="J53" s="199"/>
      <c r="K53" s="199" t="s">
        <v>346</v>
      </c>
      <c r="L53" s="199"/>
      <c r="M53" s="199"/>
      <c r="N53" s="199"/>
      <c r="O53" s="199"/>
      <c r="P53" s="199" t="s">
        <v>346</v>
      </c>
      <c r="Q53" s="199"/>
      <c r="R53" s="199"/>
      <c r="S53" s="199"/>
      <c r="T53" s="199"/>
      <c r="U53" s="199"/>
      <c r="V53" s="199" t="s">
        <v>346</v>
      </c>
      <c r="W53" s="199"/>
    </row>
    <row r="54" spans="1:23" s="270" customFormat="1" ht="60" x14ac:dyDescent="0.2">
      <c r="A54" s="260"/>
      <c r="B54" s="261"/>
      <c r="C54" s="262" t="s">
        <v>225</v>
      </c>
      <c r="D54" s="263" t="s">
        <v>302</v>
      </c>
      <c r="E54" s="264" t="s">
        <v>216</v>
      </c>
      <c r="F54" s="265" t="s">
        <v>110</v>
      </c>
      <c r="G54" s="266" t="s">
        <v>524</v>
      </c>
      <c r="H54" s="267" t="s">
        <v>523</v>
      </c>
      <c r="I54" s="268" t="s">
        <v>522</v>
      </c>
      <c r="J54" s="269"/>
      <c r="K54" s="269" t="s">
        <v>346</v>
      </c>
      <c r="L54" s="269"/>
      <c r="M54" s="269"/>
      <c r="N54" s="269"/>
      <c r="O54" s="269"/>
      <c r="P54" s="269" t="s">
        <v>346</v>
      </c>
      <c r="Q54" s="269"/>
      <c r="R54" s="269"/>
      <c r="S54" s="269"/>
      <c r="T54" s="269"/>
      <c r="U54" s="269"/>
      <c r="V54" s="269" t="s">
        <v>346</v>
      </c>
      <c r="W54" s="269"/>
    </row>
    <row r="55" spans="1:23" ht="24" x14ac:dyDescent="0.2">
      <c r="A55" s="148"/>
      <c r="B55" s="180"/>
      <c r="C55" s="142" t="s">
        <v>226</v>
      </c>
      <c r="D55" s="143"/>
      <c r="E55" s="144" t="s">
        <v>114</v>
      </c>
      <c r="F55" s="145" t="s">
        <v>107</v>
      </c>
      <c r="G55" s="146" t="s">
        <v>294</v>
      </c>
      <c r="H55" s="147"/>
      <c r="I55" s="146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</row>
    <row r="56" spans="1:23" x14ac:dyDescent="0.2">
      <c r="A56" s="148"/>
      <c r="B56" s="149"/>
      <c r="C56" s="150"/>
      <c r="D56" s="182"/>
      <c r="E56" s="152"/>
      <c r="F56" s="145" t="s">
        <v>108</v>
      </c>
      <c r="G56" s="146" t="s">
        <v>153</v>
      </c>
      <c r="H56" s="147"/>
      <c r="I56" s="146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</row>
    <row r="57" spans="1:23" x14ac:dyDescent="0.2">
      <c r="A57" s="148"/>
      <c r="B57" s="149"/>
      <c r="C57" s="150"/>
      <c r="D57" s="181"/>
      <c r="E57" s="152"/>
      <c r="F57" s="145" t="s">
        <v>109</v>
      </c>
      <c r="G57" s="146"/>
      <c r="H57" s="147"/>
      <c r="I57" s="146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</row>
    <row r="58" spans="1:23" ht="48" x14ac:dyDescent="0.2">
      <c r="A58" s="148"/>
      <c r="B58" s="149"/>
      <c r="C58" s="150" t="s">
        <v>222</v>
      </c>
      <c r="D58" s="142" t="s">
        <v>227</v>
      </c>
      <c r="E58" s="144" t="s">
        <v>205</v>
      </c>
      <c r="F58" s="145" t="s">
        <v>110</v>
      </c>
      <c r="G58" s="146" t="s">
        <v>308</v>
      </c>
      <c r="H58" s="147"/>
      <c r="I58" s="209"/>
      <c r="J58" s="199"/>
      <c r="K58" s="199" t="s">
        <v>346</v>
      </c>
      <c r="L58" s="199"/>
      <c r="M58" s="199"/>
      <c r="N58" s="199"/>
      <c r="O58" s="199"/>
      <c r="P58" s="199"/>
      <c r="Q58" s="199" t="s">
        <v>346</v>
      </c>
      <c r="R58" s="199"/>
      <c r="S58" s="199"/>
      <c r="T58" s="199"/>
      <c r="U58" s="199"/>
      <c r="V58" s="199"/>
      <c r="W58" s="199" t="s">
        <v>346</v>
      </c>
    </row>
    <row r="59" spans="1:23" ht="72" x14ac:dyDescent="0.2">
      <c r="A59" s="148"/>
      <c r="B59" s="149"/>
      <c r="C59" s="150" t="s">
        <v>222</v>
      </c>
      <c r="D59" s="142" t="s">
        <v>229</v>
      </c>
      <c r="E59" s="144" t="s">
        <v>205</v>
      </c>
      <c r="F59" s="145" t="s">
        <v>110</v>
      </c>
      <c r="G59" s="146" t="s">
        <v>519</v>
      </c>
      <c r="H59" s="259" t="s">
        <v>518</v>
      </c>
      <c r="I59" s="209" t="s">
        <v>297</v>
      </c>
      <c r="J59" s="199"/>
      <c r="K59" s="199" t="s">
        <v>346</v>
      </c>
      <c r="L59" s="199"/>
      <c r="M59" s="199"/>
      <c r="N59" s="199"/>
      <c r="O59" s="199"/>
      <c r="P59" s="199"/>
      <c r="Q59" s="199" t="s">
        <v>346</v>
      </c>
      <c r="R59" s="199"/>
      <c r="S59" s="199"/>
      <c r="T59" s="199"/>
      <c r="U59" s="199"/>
      <c r="V59" s="199"/>
      <c r="W59" s="199" t="s">
        <v>346</v>
      </c>
    </row>
    <row r="60" spans="1:23" ht="72" x14ac:dyDescent="0.2">
      <c r="A60" s="148"/>
      <c r="B60" s="149"/>
      <c r="C60" s="150" t="s">
        <v>228</v>
      </c>
      <c r="D60" s="142" t="s">
        <v>298</v>
      </c>
      <c r="E60" s="144" t="s">
        <v>212</v>
      </c>
      <c r="F60" s="145" t="s">
        <v>110</v>
      </c>
      <c r="G60" s="146" t="s">
        <v>520</v>
      </c>
      <c r="H60" s="259" t="s">
        <v>518</v>
      </c>
      <c r="I60" s="209" t="s">
        <v>297</v>
      </c>
      <c r="J60" s="199"/>
      <c r="K60" s="199" t="s">
        <v>346</v>
      </c>
      <c r="L60" s="199"/>
      <c r="M60" s="199"/>
      <c r="N60" s="199"/>
      <c r="O60" s="199"/>
      <c r="P60" s="199"/>
      <c r="Q60" s="199" t="s">
        <v>346</v>
      </c>
      <c r="R60" s="199"/>
      <c r="S60" s="199"/>
      <c r="T60" s="199"/>
      <c r="U60" s="199"/>
      <c r="V60" s="199"/>
      <c r="W60" s="199" t="s">
        <v>346</v>
      </c>
    </row>
    <row r="61" spans="1:23" ht="96" x14ac:dyDescent="0.2">
      <c r="A61" s="210"/>
      <c r="B61" s="211"/>
      <c r="C61" s="212" t="s">
        <v>228</v>
      </c>
      <c r="D61" s="213" t="s">
        <v>230</v>
      </c>
      <c r="E61" s="155" t="s">
        <v>212</v>
      </c>
      <c r="F61" s="214" t="s">
        <v>110</v>
      </c>
      <c r="G61" s="156" t="s">
        <v>525</v>
      </c>
      <c r="H61" s="259" t="s">
        <v>518</v>
      </c>
      <c r="I61" s="241" t="s">
        <v>297</v>
      </c>
      <c r="J61" s="199"/>
      <c r="K61" s="199" t="s">
        <v>346</v>
      </c>
      <c r="L61" s="199"/>
      <c r="M61" s="199"/>
      <c r="N61" s="199"/>
      <c r="O61" s="199"/>
      <c r="P61" s="199"/>
      <c r="Q61" s="199" t="s">
        <v>346</v>
      </c>
      <c r="R61" s="199"/>
      <c r="S61" s="199"/>
      <c r="T61" s="199"/>
      <c r="U61" s="199"/>
      <c r="V61" s="199"/>
      <c r="W61" s="199" t="s">
        <v>346</v>
      </c>
    </row>
  </sheetData>
  <autoFilter ref="A5:I30" xr:uid="{EA151191-7F63-47F3-851D-BEF435AC3B1E}"/>
  <phoneticPr fontId="2"/>
  <conditionalFormatting sqref="C6:C61">
    <cfRule type="expression" dxfId="0" priority="1" stopIfTrue="1">
      <formula>(F6&lt;&gt;"要求")</formula>
    </cfRule>
  </conditionalFormatting>
  <pageMargins left="0.78740157480314965" right="0.78740157480314965" top="0.70866141732283472" bottom="0.78740157480314965" header="0.51181102362204722" footer="0.51181102362204722"/>
  <pageSetup paperSize="9" scale="96" orientation="landscape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4955-6C2B-4F46-B61E-C7628B225554}">
  <sheetPr codeName="Sheet8"/>
  <dimension ref="A1:AJ106"/>
  <sheetViews>
    <sheetView view="pageBreakPreview" zoomScale="85" zoomScaleNormal="85" zoomScaleSheetLayoutView="85" workbookViewId="0">
      <pane ySplit="3" topLeftCell="A76" activePane="bottomLeft" state="frozen"/>
      <selection activeCell="B8" sqref="B8"/>
      <selection pane="bottomLeft" activeCell="W100" sqref="W100"/>
    </sheetView>
  </sheetViews>
  <sheetFormatPr defaultRowHeight="13" x14ac:dyDescent="0.2"/>
  <cols>
    <col min="1" max="11" width="5.26953125" customWidth="1"/>
    <col min="12" max="12" width="5.08984375" customWidth="1"/>
    <col min="13" max="17" width="5.26953125" customWidth="1"/>
    <col min="18" max="18" width="5.26953125" style="2" customWidth="1"/>
    <col min="19" max="26" width="5.26953125" customWidth="1"/>
    <col min="27" max="53" width="5.36328125" customWidth="1"/>
  </cols>
  <sheetData>
    <row r="1" spans="1:36" ht="30" customHeight="1" thickBot="1" x14ac:dyDescent="0.25">
      <c r="R1"/>
    </row>
    <row r="2" spans="1:36" ht="34.5" customHeight="1" x14ac:dyDescent="0.3">
      <c r="A2" s="3" t="str">
        <f>画面構成!A2</f>
        <v>[BIRD]</v>
      </c>
      <c r="B2" s="4"/>
      <c r="C2" s="5" t="str">
        <f>画面構成!C2</f>
        <v>画面設計書</v>
      </c>
      <c r="D2" s="4"/>
      <c r="E2" s="4"/>
      <c r="F2" s="4"/>
      <c r="G2" s="4"/>
      <c r="H2" s="4"/>
      <c r="I2" s="4"/>
      <c r="J2" s="4"/>
      <c r="K2" s="4"/>
      <c r="L2" s="4"/>
      <c r="M2" s="4"/>
      <c r="N2" s="271" t="s">
        <v>254</v>
      </c>
      <c r="O2" s="272"/>
      <c r="P2" s="272"/>
      <c r="Q2" s="272"/>
      <c r="R2" s="272"/>
      <c r="S2" s="271" t="s">
        <v>251</v>
      </c>
      <c r="T2" s="271"/>
      <c r="U2" s="271"/>
      <c r="V2" s="271"/>
      <c r="W2" s="271" t="s">
        <v>250</v>
      </c>
      <c r="X2" s="271"/>
      <c r="Y2" s="271"/>
      <c r="Z2" s="271"/>
    </row>
    <row r="3" spans="1:36" ht="8.25" customHeight="1" x14ac:dyDescent="0.2">
      <c r="R3"/>
    </row>
    <row r="4" spans="1:36" x14ac:dyDescent="0.2">
      <c r="A4" s="6" t="s">
        <v>58</v>
      </c>
      <c r="B4" s="7"/>
      <c r="C4" s="7"/>
      <c r="D4" s="8"/>
      <c r="E4" s="9" t="s">
        <v>46</v>
      </c>
      <c r="F4" s="10"/>
      <c r="G4" s="11" t="str">
        <f>画面構成!G4</f>
        <v>BEN016</v>
      </c>
      <c r="H4" s="12"/>
      <c r="I4" s="9" t="s">
        <v>47</v>
      </c>
      <c r="J4" s="10"/>
      <c r="K4" s="11" t="s">
        <v>182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36" x14ac:dyDescent="0.2">
      <c r="A5" s="43" t="s">
        <v>176</v>
      </c>
      <c r="B5" s="44"/>
      <c r="C5" s="45" t="s">
        <v>159</v>
      </c>
      <c r="D5" s="46"/>
      <c r="E5" s="46"/>
      <c r="F5" s="9" t="s">
        <v>60</v>
      </c>
      <c r="G5" s="10"/>
      <c r="H5" s="11" t="s">
        <v>177</v>
      </c>
      <c r="I5" s="11"/>
      <c r="J5" s="11"/>
      <c r="K5" s="11"/>
      <c r="L5" s="11"/>
      <c r="M5" s="11"/>
      <c r="N5" s="47"/>
      <c r="O5" s="47"/>
      <c r="P5" s="47"/>
      <c r="Q5" s="47"/>
      <c r="R5" s="47"/>
      <c r="S5" s="47"/>
      <c r="T5" s="47"/>
      <c r="U5" s="47"/>
      <c r="V5" s="48"/>
      <c r="W5" s="44" t="s">
        <v>61</v>
      </c>
      <c r="X5" s="44"/>
      <c r="Y5" s="44"/>
      <c r="Z5" s="49"/>
    </row>
    <row r="6" spans="1:36" x14ac:dyDescent="0.2">
      <c r="A6" s="43" t="s">
        <v>62</v>
      </c>
      <c r="B6" s="44"/>
      <c r="C6" s="50" t="s">
        <v>178</v>
      </c>
      <c r="D6" s="46"/>
      <c r="E6" s="46"/>
      <c r="F6" s="9" t="s">
        <v>63</v>
      </c>
      <c r="G6" s="10"/>
      <c r="H6" s="11" t="s">
        <v>179</v>
      </c>
      <c r="I6" s="11"/>
      <c r="J6" s="11"/>
      <c r="K6" s="11"/>
      <c r="L6" s="11"/>
      <c r="M6" s="11"/>
      <c r="N6" s="47"/>
      <c r="O6" s="47"/>
      <c r="P6" s="47"/>
      <c r="Q6" s="47"/>
      <c r="R6" s="47"/>
      <c r="S6" s="47"/>
      <c r="T6" s="47"/>
      <c r="U6" s="47"/>
      <c r="V6" s="48"/>
      <c r="W6" s="26"/>
      <c r="X6" s="26"/>
      <c r="Y6" s="26"/>
      <c r="Z6" s="27"/>
      <c r="AB6" s="29"/>
      <c r="AC6" s="29"/>
      <c r="AD6" s="29"/>
      <c r="AE6" s="29"/>
      <c r="AF6" s="29"/>
      <c r="AG6" s="29"/>
      <c r="AH6" s="29"/>
    </row>
    <row r="7" spans="1:36" x14ac:dyDescent="0.2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1"/>
      <c r="W7" s="51"/>
      <c r="X7" s="51"/>
      <c r="Y7" s="51"/>
      <c r="Z7" s="52"/>
      <c r="AB7" s="29"/>
      <c r="AC7" s="29"/>
      <c r="AD7" s="29"/>
      <c r="AE7" s="29"/>
      <c r="AF7" s="29"/>
      <c r="AG7" s="29"/>
      <c r="AH7" s="29"/>
    </row>
    <row r="8" spans="1:36" x14ac:dyDescent="0.2">
      <c r="A8" s="28"/>
      <c r="B8" s="132" t="s">
        <v>180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31"/>
      <c r="W8" s="51"/>
      <c r="X8" s="51"/>
      <c r="Y8" s="51"/>
      <c r="Z8" s="52"/>
      <c r="AB8" s="29"/>
      <c r="AC8" s="29"/>
      <c r="AD8" s="29"/>
      <c r="AE8" s="29"/>
      <c r="AF8" s="29"/>
      <c r="AG8" s="29"/>
      <c r="AH8" s="29"/>
    </row>
    <row r="9" spans="1:36" x14ac:dyDescent="0.2">
      <c r="A9" s="32"/>
      <c r="V9" s="31"/>
      <c r="W9" s="29"/>
      <c r="X9" s="29"/>
      <c r="Y9" s="29"/>
      <c r="Z9" s="31"/>
      <c r="AB9" s="29"/>
      <c r="AC9" s="29"/>
      <c r="AD9" s="29"/>
      <c r="AE9" s="29"/>
      <c r="AF9" s="29"/>
      <c r="AG9" s="29"/>
      <c r="AH9" s="29"/>
    </row>
    <row r="10" spans="1:36" x14ac:dyDescent="0.2">
      <c r="A10" s="32"/>
      <c r="B10" s="304" t="s">
        <v>190</v>
      </c>
      <c r="C10" s="305"/>
      <c r="D10" s="308" t="s">
        <v>116</v>
      </c>
      <c r="E10" s="308"/>
      <c r="F10" s="308"/>
      <c r="G10" s="308"/>
      <c r="H10" s="304" t="s">
        <v>317</v>
      </c>
      <c r="I10" s="309"/>
      <c r="J10" s="309"/>
      <c r="K10" s="309"/>
      <c r="L10" s="309"/>
      <c r="M10" s="309"/>
      <c r="N10" s="305"/>
      <c r="O10" s="296" t="s">
        <v>191</v>
      </c>
      <c r="P10" s="297"/>
      <c r="Q10" s="298"/>
      <c r="R10" s="296" t="s">
        <v>192</v>
      </c>
      <c r="S10" s="297"/>
      <c r="T10" s="298"/>
      <c r="U10" s="29"/>
      <c r="V10" s="31"/>
      <c r="W10" s="29"/>
      <c r="X10" s="29"/>
      <c r="Y10" s="29"/>
      <c r="Z10" s="31"/>
      <c r="AB10" s="29"/>
      <c r="AC10" s="29"/>
      <c r="AE10" s="29"/>
      <c r="AF10" s="29"/>
      <c r="AG10" s="29"/>
      <c r="AH10" s="29"/>
    </row>
    <row r="11" spans="1:36" x14ac:dyDescent="0.2">
      <c r="A11" s="28"/>
      <c r="B11" s="306"/>
      <c r="C11" s="307"/>
      <c r="D11" s="308"/>
      <c r="E11" s="308"/>
      <c r="F11" s="308"/>
      <c r="G11" s="308"/>
      <c r="H11" s="310"/>
      <c r="I11" s="311"/>
      <c r="J11" s="311"/>
      <c r="K11" s="311"/>
      <c r="L11" s="311"/>
      <c r="M11" s="311"/>
      <c r="N11" s="312"/>
      <c r="O11" s="299"/>
      <c r="P11" s="300"/>
      <c r="Q11" s="301"/>
      <c r="R11" s="299"/>
      <c r="S11" s="300"/>
      <c r="T11" s="301"/>
      <c r="U11" s="29"/>
      <c r="V11" s="31"/>
      <c r="W11" s="51"/>
      <c r="X11" s="51"/>
      <c r="Y11" s="51"/>
      <c r="Z11" s="52"/>
      <c r="AB11" s="29"/>
      <c r="AC11" s="29"/>
      <c r="AE11" s="29"/>
      <c r="AF11" s="29"/>
      <c r="AG11" s="29"/>
      <c r="AH11" s="29"/>
    </row>
    <row r="12" spans="1:36" x14ac:dyDescent="0.2">
      <c r="A12" s="28"/>
      <c r="B12" s="285" t="s">
        <v>6</v>
      </c>
      <c r="C12" s="286"/>
      <c r="D12" s="302" t="s">
        <v>193</v>
      </c>
      <c r="E12" s="302"/>
      <c r="F12" s="302"/>
      <c r="G12" s="302"/>
      <c r="H12" s="290" t="s">
        <v>194</v>
      </c>
      <c r="I12" s="291"/>
      <c r="J12" s="291"/>
      <c r="K12" s="291"/>
      <c r="L12" s="291"/>
      <c r="M12" s="291"/>
      <c r="N12" s="292"/>
      <c r="O12" s="275">
        <v>38950</v>
      </c>
      <c r="P12" s="276"/>
      <c r="Q12" s="277"/>
      <c r="R12" s="275">
        <v>38959</v>
      </c>
      <c r="S12" s="276"/>
      <c r="T12" s="277"/>
      <c r="U12" s="29"/>
      <c r="V12" s="31"/>
      <c r="W12" s="51"/>
      <c r="X12" s="51"/>
      <c r="Y12" s="51"/>
      <c r="Z12" s="52"/>
      <c r="AB12" s="29"/>
      <c r="AC12" s="29"/>
      <c r="AE12" s="29"/>
      <c r="AF12" s="29"/>
      <c r="AG12" s="29"/>
      <c r="AH12" s="29"/>
    </row>
    <row r="13" spans="1:36" x14ac:dyDescent="0.2">
      <c r="A13" s="32"/>
      <c r="B13" s="287"/>
      <c r="C13" s="288"/>
      <c r="D13" s="302"/>
      <c r="E13" s="302"/>
      <c r="F13" s="302"/>
      <c r="G13" s="302"/>
      <c r="H13" s="293"/>
      <c r="I13" s="294"/>
      <c r="J13" s="294"/>
      <c r="K13" s="294"/>
      <c r="L13" s="294"/>
      <c r="M13" s="294"/>
      <c r="N13" s="295"/>
      <c r="O13" s="278"/>
      <c r="P13" s="279"/>
      <c r="Q13" s="280"/>
      <c r="R13" s="278"/>
      <c r="S13" s="279"/>
      <c r="T13" s="280"/>
      <c r="U13" s="29"/>
      <c r="V13" s="221"/>
      <c r="W13" s="29"/>
      <c r="X13" s="29"/>
      <c r="Y13" s="29"/>
      <c r="Z13" s="31"/>
      <c r="AB13" s="29"/>
      <c r="AC13" s="29"/>
      <c r="AE13" s="29"/>
      <c r="AF13" s="29"/>
      <c r="AG13" s="29"/>
      <c r="AH13" s="29"/>
      <c r="AJ13" t="s">
        <v>7</v>
      </c>
    </row>
    <row r="14" spans="1:36" x14ac:dyDescent="0.2">
      <c r="A14" s="32"/>
      <c r="B14" s="285" t="s">
        <v>181</v>
      </c>
      <c r="C14" s="286"/>
      <c r="D14" s="289" t="s">
        <v>195</v>
      </c>
      <c r="E14" s="289"/>
      <c r="F14" s="289"/>
      <c r="G14" s="289"/>
      <c r="H14" s="290" t="s">
        <v>196</v>
      </c>
      <c r="I14" s="291"/>
      <c r="J14" s="291"/>
      <c r="K14" s="291"/>
      <c r="L14" s="291"/>
      <c r="M14" s="291"/>
      <c r="N14" s="292"/>
      <c r="O14" s="275">
        <v>38991</v>
      </c>
      <c r="P14" s="276"/>
      <c r="Q14" s="277"/>
      <c r="R14" s="275">
        <v>39000</v>
      </c>
      <c r="S14" s="276"/>
      <c r="T14" s="277"/>
      <c r="U14" s="29"/>
      <c r="V14" s="221"/>
      <c r="W14" s="29"/>
      <c r="X14" s="29"/>
      <c r="Y14" s="29"/>
      <c r="Z14" s="31"/>
      <c r="AB14" s="29"/>
      <c r="AC14" s="29"/>
      <c r="AE14" s="29"/>
      <c r="AF14" s="29"/>
      <c r="AG14" s="29"/>
      <c r="AH14" s="29"/>
      <c r="AJ14" t="s">
        <v>8</v>
      </c>
    </row>
    <row r="15" spans="1:36" x14ac:dyDescent="0.2">
      <c r="A15" s="32"/>
      <c r="B15" s="287"/>
      <c r="C15" s="288"/>
      <c r="D15" s="289"/>
      <c r="E15" s="289"/>
      <c r="F15" s="289"/>
      <c r="G15" s="289"/>
      <c r="H15" s="293"/>
      <c r="I15" s="294"/>
      <c r="J15" s="294"/>
      <c r="K15" s="294"/>
      <c r="L15" s="294"/>
      <c r="M15" s="294"/>
      <c r="N15" s="295"/>
      <c r="O15" s="278"/>
      <c r="P15" s="279"/>
      <c r="Q15" s="280"/>
      <c r="R15" s="278"/>
      <c r="S15" s="279"/>
      <c r="T15" s="280"/>
      <c r="U15" s="196"/>
      <c r="V15" s="221"/>
      <c r="W15" s="29"/>
      <c r="X15" s="29"/>
      <c r="Y15" s="29"/>
      <c r="Z15" s="31"/>
      <c r="AB15" s="29"/>
      <c r="AC15" s="29"/>
      <c r="AE15" s="29"/>
      <c r="AF15" s="29"/>
      <c r="AG15" s="29"/>
      <c r="AH15" s="29"/>
      <c r="AJ15" t="s">
        <v>145</v>
      </c>
    </row>
    <row r="16" spans="1:36" x14ac:dyDescent="0.2">
      <c r="A16" s="37"/>
      <c r="B16" s="285" t="s">
        <v>197</v>
      </c>
      <c r="C16" s="286"/>
      <c r="D16" s="289" t="s">
        <v>198</v>
      </c>
      <c r="E16" s="289"/>
      <c r="F16" s="289"/>
      <c r="G16" s="289"/>
      <c r="H16" s="290" t="s">
        <v>199</v>
      </c>
      <c r="I16" s="291"/>
      <c r="J16" s="291"/>
      <c r="K16" s="291"/>
      <c r="L16" s="291"/>
      <c r="M16" s="291"/>
      <c r="N16" s="292"/>
      <c r="O16" s="275">
        <v>39022</v>
      </c>
      <c r="P16" s="276"/>
      <c r="Q16" s="277"/>
      <c r="R16" s="275">
        <v>39031</v>
      </c>
      <c r="S16" s="276"/>
      <c r="T16" s="277"/>
      <c r="U16" s="196"/>
      <c r="V16" s="221"/>
      <c r="W16" s="29"/>
      <c r="X16" s="29"/>
      <c r="Y16" s="29"/>
      <c r="Z16" s="31"/>
      <c r="AB16" s="29"/>
      <c r="AC16" s="29"/>
      <c r="AD16" s="29"/>
      <c r="AE16" s="29"/>
      <c r="AF16" s="29"/>
      <c r="AG16" s="29"/>
      <c r="AH16" s="29"/>
      <c r="AJ16" t="s">
        <v>144</v>
      </c>
    </row>
    <row r="17" spans="1:34" x14ac:dyDescent="0.2">
      <c r="A17" s="32"/>
      <c r="B17" s="287"/>
      <c r="C17" s="288"/>
      <c r="D17" s="289"/>
      <c r="E17" s="289"/>
      <c r="F17" s="289"/>
      <c r="G17" s="289"/>
      <c r="H17" s="293"/>
      <c r="I17" s="294"/>
      <c r="J17" s="294"/>
      <c r="K17" s="294"/>
      <c r="L17" s="294"/>
      <c r="M17" s="294"/>
      <c r="N17" s="295"/>
      <c r="O17" s="278"/>
      <c r="P17" s="279"/>
      <c r="Q17" s="280"/>
      <c r="R17" s="278"/>
      <c r="S17" s="279"/>
      <c r="T17" s="280"/>
      <c r="U17" s="196"/>
      <c r="V17" s="31"/>
      <c r="W17" s="29"/>
      <c r="X17" s="29"/>
      <c r="Y17" s="29"/>
      <c r="Z17" s="31"/>
      <c r="AG17" s="29"/>
    </row>
    <row r="18" spans="1:34" ht="13.5" customHeight="1" x14ac:dyDescent="0.2">
      <c r="A18" s="32"/>
      <c r="B18" s="56"/>
      <c r="C18" s="57"/>
      <c r="D18" s="57"/>
      <c r="E18" s="57"/>
      <c r="F18" s="57"/>
      <c r="G18" s="57"/>
      <c r="H18" s="195"/>
      <c r="I18" s="195"/>
      <c r="J18" s="195"/>
      <c r="K18" s="195"/>
      <c r="L18" s="195"/>
      <c r="M18" s="57"/>
      <c r="N18" s="57"/>
      <c r="O18" s="57"/>
      <c r="P18" s="57"/>
      <c r="Q18" s="59"/>
      <c r="R18" s="59"/>
      <c r="S18" s="59"/>
      <c r="T18" s="59"/>
      <c r="U18" s="60"/>
      <c r="V18" s="31"/>
      <c r="W18" s="29"/>
      <c r="X18" s="29"/>
      <c r="Y18" s="29"/>
      <c r="Z18" s="31"/>
      <c r="AB18" s="29"/>
      <c r="AC18" s="53"/>
      <c r="AD18" s="53"/>
      <c r="AE18" s="53"/>
      <c r="AF18" s="53"/>
      <c r="AG18" s="53"/>
      <c r="AH18" s="29"/>
    </row>
    <row r="19" spans="1:34" s="195" customFormat="1" x14ac:dyDescent="0.2">
      <c r="A19" s="198"/>
      <c r="B19" s="56"/>
      <c r="C19" s="57"/>
      <c r="D19" s="57"/>
      <c r="E19" s="57"/>
      <c r="F19" s="57"/>
      <c r="G19" s="57"/>
      <c r="M19" s="57"/>
      <c r="N19" s="57"/>
      <c r="O19" s="57"/>
      <c r="P19" s="57"/>
      <c r="Q19" s="59"/>
      <c r="R19" s="59"/>
      <c r="S19" s="59"/>
      <c r="T19" s="59"/>
      <c r="U19" s="60"/>
      <c r="V19" s="197"/>
      <c r="W19" s="196"/>
      <c r="X19" s="196"/>
      <c r="Y19" s="196"/>
      <c r="Z19" s="197"/>
    </row>
    <row r="20" spans="1:34" s="195" customFormat="1" x14ac:dyDescent="0.2">
      <c r="A20" s="198"/>
      <c r="B20" s="56"/>
      <c r="C20" s="57"/>
      <c r="D20" s="57"/>
      <c r="E20" s="57"/>
      <c r="F20" s="57"/>
      <c r="G20" s="57"/>
      <c r="H20" s="57"/>
      <c r="I20" s="57"/>
      <c r="J20" s="58"/>
      <c r="K20" s="58"/>
      <c r="L20" s="57"/>
      <c r="M20" s="57"/>
      <c r="N20" s="57"/>
      <c r="O20" s="57"/>
      <c r="P20" s="57"/>
      <c r="Q20" s="59"/>
      <c r="R20" s="59"/>
      <c r="S20" s="59"/>
      <c r="T20" s="59"/>
      <c r="U20" s="60"/>
      <c r="V20" s="197"/>
      <c r="W20" s="196"/>
      <c r="X20" s="196"/>
      <c r="Y20" s="196"/>
      <c r="Z20" s="197"/>
    </row>
    <row r="21" spans="1:34" s="195" customFormat="1" x14ac:dyDescent="0.2">
      <c r="A21" s="198"/>
      <c r="B21" s="56"/>
      <c r="C21" s="57"/>
      <c r="D21" s="57"/>
      <c r="E21" s="57"/>
      <c r="F21" s="57"/>
      <c r="G21" s="57"/>
      <c r="O21" s="57"/>
      <c r="P21" s="57"/>
      <c r="Q21" s="59"/>
      <c r="R21" s="59"/>
      <c r="S21" s="59"/>
      <c r="T21" s="59"/>
      <c r="U21" s="60"/>
      <c r="V21" s="197"/>
      <c r="W21" s="196"/>
      <c r="X21" s="196"/>
      <c r="Y21" s="196"/>
      <c r="Z21" s="197"/>
    </row>
    <row r="22" spans="1:34" s="195" customFormat="1" x14ac:dyDescent="0.2">
      <c r="A22" s="198"/>
      <c r="B22" s="56"/>
      <c r="C22" s="57"/>
      <c r="D22" s="57"/>
      <c r="E22" s="57"/>
      <c r="F22" s="57"/>
      <c r="G22" s="57"/>
      <c r="O22" s="57"/>
      <c r="P22" s="57"/>
      <c r="Q22" s="59"/>
      <c r="R22" s="59"/>
      <c r="S22" s="59"/>
      <c r="T22" s="59"/>
      <c r="U22" s="60"/>
      <c r="V22" s="197"/>
      <c r="W22" s="196"/>
      <c r="X22" s="196"/>
      <c r="Y22" s="196"/>
      <c r="Z22" s="197"/>
    </row>
    <row r="23" spans="1:34" s="195" customFormat="1" x14ac:dyDescent="0.2">
      <c r="A23" s="198"/>
      <c r="B23" s="56"/>
      <c r="C23" s="57"/>
      <c r="D23" s="57"/>
      <c r="E23" s="57"/>
      <c r="F23" s="57"/>
      <c r="G23" s="57"/>
      <c r="H23" s="57"/>
      <c r="I23" s="57"/>
      <c r="J23" s="58"/>
      <c r="K23" s="58"/>
      <c r="L23" s="57"/>
      <c r="M23" s="57"/>
      <c r="N23" s="57"/>
      <c r="O23" s="57"/>
      <c r="P23" s="57"/>
      <c r="Q23" s="59"/>
      <c r="R23" s="59"/>
      <c r="S23" s="59"/>
      <c r="T23" s="59"/>
      <c r="U23" s="60"/>
      <c r="V23" s="197"/>
      <c r="W23" s="196"/>
      <c r="X23" s="196"/>
      <c r="Y23" s="196"/>
      <c r="Z23" s="197"/>
    </row>
    <row r="24" spans="1:34" s="195" customFormat="1" x14ac:dyDescent="0.2">
      <c r="A24" s="198"/>
      <c r="B24" s="56"/>
      <c r="C24" s="57"/>
      <c r="D24" s="57"/>
      <c r="E24" s="57"/>
      <c r="F24" s="57"/>
      <c r="G24" s="57"/>
      <c r="H24" s="57"/>
      <c r="I24" s="57"/>
      <c r="J24" s="58"/>
      <c r="K24" s="58"/>
      <c r="L24" s="57"/>
      <c r="M24" s="57"/>
      <c r="N24" s="57"/>
      <c r="O24" s="57"/>
      <c r="P24" s="57"/>
      <c r="Q24" s="59"/>
      <c r="R24" s="59"/>
      <c r="S24" s="59"/>
      <c r="T24" s="59"/>
      <c r="U24" s="60"/>
      <c r="V24" s="197"/>
      <c r="W24" s="196"/>
      <c r="X24" s="196"/>
      <c r="Y24" s="196"/>
      <c r="Z24" s="197"/>
    </row>
    <row r="25" spans="1:34" s="195" customFormat="1" x14ac:dyDescent="0.2">
      <c r="A25" s="198"/>
      <c r="B25" s="56"/>
      <c r="C25" s="57"/>
      <c r="D25" s="57"/>
      <c r="E25" s="57"/>
      <c r="F25" s="57"/>
      <c r="G25" s="57"/>
      <c r="H25" s="57"/>
      <c r="I25" s="57"/>
      <c r="J25" s="58"/>
      <c r="K25" s="58"/>
      <c r="L25" s="57"/>
      <c r="M25" s="57"/>
      <c r="N25" s="57"/>
      <c r="O25" s="57"/>
      <c r="P25" s="57"/>
      <c r="Q25" s="59"/>
      <c r="R25" s="59"/>
      <c r="S25" s="59"/>
      <c r="T25" s="59"/>
      <c r="U25" s="60"/>
      <c r="V25" s="197"/>
      <c r="W25" s="196"/>
      <c r="X25" s="196"/>
      <c r="Y25" s="196"/>
      <c r="Z25" s="197"/>
    </row>
    <row r="26" spans="1:34" x14ac:dyDescent="0.2">
      <c r="A26" s="32"/>
      <c r="V26" s="31"/>
      <c r="W26" s="29"/>
      <c r="X26" s="29"/>
      <c r="Y26" s="29"/>
      <c r="Z26" s="31"/>
      <c r="AB26" s="29"/>
      <c r="AC26" s="55"/>
      <c r="AD26" s="54"/>
      <c r="AE26" s="54"/>
      <c r="AF26" s="54"/>
      <c r="AG26" s="29"/>
      <c r="AH26" s="29"/>
    </row>
    <row r="27" spans="1:34" x14ac:dyDescent="0.2">
      <c r="A27" s="32"/>
      <c r="B27" s="56"/>
      <c r="C27" s="57"/>
      <c r="D27" s="57"/>
      <c r="E27" s="57"/>
      <c r="F27" s="57"/>
      <c r="G27" s="57"/>
      <c r="H27" s="57"/>
      <c r="I27" s="57"/>
      <c r="J27" s="58"/>
      <c r="K27" s="58"/>
      <c r="L27" s="57"/>
      <c r="M27" s="57"/>
      <c r="N27" s="57"/>
      <c r="O27" s="57"/>
      <c r="P27" s="57"/>
      <c r="Q27" s="59"/>
      <c r="R27" s="59"/>
      <c r="V27" s="31"/>
      <c r="W27" s="29"/>
      <c r="X27" s="29"/>
      <c r="Y27" s="29"/>
      <c r="Z27" s="31"/>
      <c r="AB27" s="29"/>
      <c r="AC27" s="55"/>
      <c r="AD27" s="55"/>
      <c r="AE27" s="53"/>
      <c r="AF27" s="53"/>
      <c r="AG27" s="29"/>
      <c r="AH27" s="29"/>
    </row>
    <row r="28" spans="1:34" ht="13.5" customHeight="1" x14ac:dyDescent="0.2">
      <c r="A28" s="32"/>
      <c r="B28" s="56"/>
      <c r="C28" s="57"/>
      <c r="D28" s="57"/>
      <c r="E28" s="57"/>
      <c r="F28" s="57"/>
      <c r="G28" s="57"/>
      <c r="H28" s="57"/>
      <c r="I28" s="57"/>
      <c r="J28" s="58"/>
      <c r="K28" s="58"/>
      <c r="L28" s="57"/>
      <c r="M28" s="57"/>
      <c r="N28" s="57"/>
      <c r="O28" s="57"/>
      <c r="P28" s="57"/>
      <c r="Q28" s="59"/>
      <c r="R28" s="59"/>
      <c r="V28" s="31"/>
      <c r="W28" s="29"/>
      <c r="X28" s="29"/>
      <c r="Y28" s="29"/>
      <c r="Z28" s="31"/>
      <c r="AB28" s="29"/>
      <c r="AC28" s="29"/>
      <c r="AD28" s="29"/>
      <c r="AE28" s="29"/>
      <c r="AF28" s="29"/>
      <c r="AG28" s="29"/>
      <c r="AH28" s="29"/>
    </row>
    <row r="29" spans="1:34" x14ac:dyDescent="0.2">
      <c r="A29" s="32"/>
      <c r="B29" s="56"/>
      <c r="C29" s="57"/>
      <c r="D29" s="57"/>
      <c r="E29" s="57"/>
      <c r="F29" s="57"/>
      <c r="G29" s="57"/>
      <c r="H29" s="57"/>
      <c r="I29" s="57"/>
      <c r="J29" s="58"/>
      <c r="K29" s="58"/>
      <c r="L29" s="57"/>
      <c r="M29" s="57"/>
      <c r="N29" s="57"/>
      <c r="O29" s="57"/>
      <c r="P29" s="57"/>
      <c r="Q29" s="59"/>
      <c r="R29" s="59"/>
      <c r="V29" s="31"/>
      <c r="W29" s="29"/>
      <c r="X29" s="29"/>
      <c r="Y29" s="29"/>
      <c r="Z29" s="31"/>
      <c r="AB29" s="29"/>
      <c r="AC29" s="55"/>
      <c r="AD29" s="55"/>
      <c r="AE29" s="55"/>
      <c r="AF29" s="55"/>
      <c r="AG29" s="55"/>
      <c r="AH29" s="29"/>
    </row>
    <row r="30" spans="1:34" ht="13.5" customHeight="1" x14ac:dyDescent="0.2">
      <c r="A30" s="32"/>
      <c r="V30" s="31"/>
      <c r="W30" s="29"/>
      <c r="X30" s="29"/>
      <c r="Y30" s="29"/>
      <c r="Z30" s="31"/>
      <c r="AB30" s="29"/>
      <c r="AC30" s="53"/>
      <c r="AD30" s="53"/>
      <c r="AE30" s="53"/>
      <c r="AF30" s="53"/>
      <c r="AG30" s="53"/>
      <c r="AH30" s="29"/>
    </row>
    <row r="31" spans="1:34" x14ac:dyDescent="0.2">
      <c r="A31" s="32"/>
      <c r="V31" s="31"/>
      <c r="W31" s="29"/>
      <c r="X31" s="29"/>
      <c r="Y31" s="29"/>
      <c r="Z31" s="31"/>
      <c r="AB31" s="29"/>
      <c r="AC31" s="29"/>
      <c r="AD31" s="29"/>
      <c r="AE31" s="29"/>
      <c r="AF31" s="29"/>
      <c r="AG31" s="29"/>
      <c r="AH31" s="29"/>
    </row>
    <row r="32" spans="1:34" x14ac:dyDescent="0.2">
      <c r="A32" s="32"/>
      <c r="V32" s="31"/>
      <c r="W32" s="29"/>
      <c r="X32" s="29"/>
      <c r="Y32" s="29"/>
      <c r="Z32" s="31"/>
      <c r="AB32" s="29"/>
      <c r="AC32" s="29"/>
      <c r="AD32" s="29"/>
      <c r="AE32" s="29"/>
      <c r="AF32" s="29"/>
      <c r="AG32" s="29"/>
      <c r="AH32" s="29"/>
    </row>
    <row r="33" spans="1:35" x14ac:dyDescent="0.2">
      <c r="A33" s="32"/>
      <c r="B33" s="56"/>
      <c r="C33" s="57"/>
      <c r="D33" s="57"/>
      <c r="E33" s="57"/>
      <c r="F33" s="57"/>
      <c r="L33" s="57"/>
      <c r="T33" s="59"/>
      <c r="U33" s="60"/>
      <c r="V33" s="31"/>
      <c r="W33" s="29"/>
      <c r="X33" s="29"/>
      <c r="Y33" s="29"/>
      <c r="Z33" s="31"/>
    </row>
    <row r="34" spans="1:35" x14ac:dyDescent="0.2">
      <c r="A34" s="32"/>
      <c r="B34" s="56"/>
      <c r="C34" s="57"/>
      <c r="D34" s="57"/>
      <c r="E34" s="57"/>
      <c r="F34" s="57"/>
      <c r="L34" s="57"/>
      <c r="T34" s="59"/>
      <c r="U34" s="60"/>
      <c r="V34" s="31"/>
      <c r="W34" s="29"/>
      <c r="X34" s="29"/>
      <c r="Y34" s="29"/>
      <c r="Z34" s="31"/>
    </row>
    <row r="35" spans="1:35" x14ac:dyDescent="0.2">
      <c r="A35" s="32"/>
      <c r="B35" s="56"/>
      <c r="C35" s="57"/>
      <c r="D35" s="57"/>
      <c r="E35" s="57"/>
      <c r="F35" s="57"/>
      <c r="G35" s="57"/>
      <c r="H35" s="57"/>
      <c r="I35" s="57"/>
      <c r="J35" s="58"/>
      <c r="K35" s="58"/>
      <c r="L35" s="57"/>
      <c r="M35" s="57"/>
      <c r="N35" s="57"/>
      <c r="O35" s="57"/>
      <c r="P35" s="57"/>
      <c r="Q35" s="59"/>
      <c r="R35" s="59"/>
      <c r="S35" s="59"/>
      <c r="T35" s="59"/>
      <c r="U35" s="60"/>
      <c r="V35" s="31"/>
      <c r="W35" s="29"/>
      <c r="X35" s="29"/>
      <c r="Y35" s="29"/>
      <c r="Z35" s="31"/>
    </row>
    <row r="36" spans="1:35" x14ac:dyDescent="0.2">
      <c r="A36" s="32"/>
      <c r="B36" s="56"/>
      <c r="C36" s="57"/>
      <c r="D36" s="57"/>
      <c r="E36" s="57"/>
      <c r="F36" s="57"/>
      <c r="G36" s="57"/>
      <c r="H36" s="57"/>
      <c r="I36" s="57"/>
      <c r="J36" s="58"/>
      <c r="K36" s="58"/>
      <c r="L36" s="57"/>
      <c r="M36" s="57"/>
      <c r="N36" s="57"/>
      <c r="O36" s="57"/>
      <c r="P36" s="57"/>
      <c r="Q36" s="59"/>
      <c r="R36" s="59"/>
      <c r="S36" s="59"/>
      <c r="T36" s="59"/>
      <c r="U36" s="60"/>
      <c r="V36" s="31"/>
      <c r="W36" s="29"/>
      <c r="X36" s="29"/>
      <c r="Y36" s="29"/>
      <c r="Z36" s="31"/>
    </row>
    <row r="37" spans="1:35" x14ac:dyDescent="0.2">
      <c r="A37" s="32"/>
      <c r="B37" s="56"/>
      <c r="C37" s="57"/>
      <c r="D37" s="57"/>
      <c r="E37" s="57"/>
      <c r="F37" s="57"/>
      <c r="G37" s="57"/>
      <c r="H37" s="57"/>
      <c r="I37" s="57"/>
      <c r="J37" s="58"/>
      <c r="K37" s="58"/>
      <c r="L37" s="57"/>
      <c r="M37" s="57"/>
      <c r="N37" s="57"/>
      <c r="O37" s="57"/>
      <c r="P37" s="57"/>
      <c r="Q37" s="59"/>
      <c r="R37" s="59"/>
      <c r="S37" s="59"/>
      <c r="T37" s="59"/>
      <c r="U37" s="60"/>
      <c r="V37" s="31"/>
      <c r="W37" s="29"/>
      <c r="X37" s="29"/>
      <c r="Y37" s="29"/>
      <c r="Z37" s="31"/>
    </row>
    <row r="38" spans="1:35" x14ac:dyDescent="0.2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2"/>
      <c r="W38" s="41"/>
      <c r="X38" s="41"/>
      <c r="Y38" s="41"/>
      <c r="Z38" s="42"/>
    </row>
    <row r="39" spans="1:35" x14ac:dyDescent="0.2">
      <c r="A39" s="43" t="s">
        <v>59</v>
      </c>
      <c r="B39" s="44"/>
      <c r="C39" s="45" t="s">
        <v>249</v>
      </c>
      <c r="D39" s="46"/>
      <c r="E39" s="46"/>
      <c r="F39" s="9" t="s">
        <v>60</v>
      </c>
      <c r="G39" s="10"/>
      <c r="H39" s="11" t="s">
        <v>247</v>
      </c>
      <c r="I39" s="11"/>
      <c r="J39" s="11"/>
      <c r="K39" s="11"/>
      <c r="L39" s="11"/>
      <c r="M39" s="11"/>
      <c r="N39" s="47"/>
      <c r="O39" s="47"/>
      <c r="P39" s="47"/>
      <c r="Q39" s="47"/>
      <c r="R39" s="47"/>
      <c r="S39" s="47"/>
      <c r="T39" s="47"/>
      <c r="U39" s="47"/>
      <c r="V39" s="48"/>
      <c r="W39" s="44" t="s">
        <v>61</v>
      </c>
      <c r="X39" s="44"/>
      <c r="Y39" s="44"/>
      <c r="Z39" s="49"/>
    </row>
    <row r="40" spans="1:35" x14ac:dyDescent="0.2">
      <c r="A40" s="43" t="s">
        <v>62</v>
      </c>
      <c r="B40" s="44"/>
      <c r="C40" s="50" t="s">
        <v>248</v>
      </c>
      <c r="D40" s="46"/>
      <c r="E40" s="46"/>
      <c r="F40" s="9" t="s">
        <v>63</v>
      </c>
      <c r="G40" s="10"/>
      <c r="H40" s="11" t="s">
        <v>135</v>
      </c>
      <c r="I40" s="11"/>
      <c r="J40" s="11"/>
      <c r="K40" s="11"/>
      <c r="L40" s="11"/>
      <c r="M40" s="11"/>
      <c r="N40" s="47"/>
      <c r="O40" s="47"/>
      <c r="P40" s="47"/>
      <c r="Q40" s="47"/>
      <c r="R40" s="47"/>
      <c r="S40" s="47"/>
      <c r="T40" s="47"/>
      <c r="U40" s="47"/>
      <c r="V40" s="48"/>
      <c r="W40" s="26"/>
      <c r="X40" s="26"/>
      <c r="Y40" s="26"/>
      <c r="Z40" s="27"/>
      <c r="AB40" s="29"/>
      <c r="AC40" s="29"/>
      <c r="AD40" s="29"/>
      <c r="AE40" s="29"/>
      <c r="AF40" s="29"/>
      <c r="AG40" s="29"/>
      <c r="AH40" s="29"/>
    </row>
    <row r="41" spans="1:35" x14ac:dyDescent="0.2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1"/>
      <c r="W41" s="51"/>
      <c r="X41" s="51"/>
      <c r="Y41" s="51"/>
      <c r="Z41" s="52"/>
      <c r="AB41" s="29"/>
      <c r="AC41" s="29"/>
      <c r="AD41" s="29"/>
      <c r="AE41" s="29"/>
      <c r="AF41" s="29"/>
      <c r="AG41" s="29"/>
      <c r="AH41" s="29"/>
    </row>
    <row r="42" spans="1:35" x14ac:dyDescent="0.2">
      <c r="A42" s="28"/>
      <c r="B42" s="132" t="s">
        <v>271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31"/>
      <c r="W42" s="51"/>
      <c r="X42" s="51"/>
      <c r="Y42" s="51"/>
      <c r="Z42" s="52"/>
      <c r="AB42" s="29"/>
      <c r="AC42" s="29"/>
      <c r="AD42" s="29"/>
      <c r="AE42" s="29"/>
      <c r="AF42" s="29"/>
      <c r="AG42" s="29"/>
      <c r="AH42" s="29"/>
    </row>
    <row r="43" spans="1:35" x14ac:dyDescent="0.2">
      <c r="A43" s="32"/>
      <c r="V43" s="31"/>
      <c r="W43" s="29"/>
      <c r="X43" s="29"/>
      <c r="Y43" s="29"/>
      <c r="Z43" s="31"/>
      <c r="AB43" s="29"/>
      <c r="AC43" s="29"/>
      <c r="AD43" s="29"/>
      <c r="AE43" s="29"/>
      <c r="AF43" s="29"/>
      <c r="AG43" s="29"/>
      <c r="AH43" s="29"/>
    </row>
    <row r="44" spans="1:35" x14ac:dyDescent="0.2">
      <c r="A44" s="32"/>
      <c r="B44" s="281" t="s">
        <v>140</v>
      </c>
      <c r="C44" s="282"/>
      <c r="D44" s="238"/>
      <c r="E44" s="200"/>
      <c r="F44" s="235"/>
      <c r="G44" s="281" t="s">
        <v>278</v>
      </c>
      <c r="H44" s="282"/>
      <c r="I44" s="238"/>
      <c r="J44" s="200"/>
      <c r="K44" s="200"/>
      <c r="L44" s="235"/>
      <c r="M44" s="201"/>
      <c r="N44" s="281" t="s">
        <v>152</v>
      </c>
      <c r="O44" s="282"/>
      <c r="P44" s="339"/>
      <c r="Q44" s="341"/>
      <c r="R44" s="339"/>
      <c r="S44" s="340"/>
      <c r="T44" s="341"/>
      <c r="U44" s="29"/>
      <c r="V44" s="31"/>
      <c r="W44" s="29"/>
      <c r="X44" s="29"/>
      <c r="Y44" s="29"/>
      <c r="Z44" s="31"/>
      <c r="AB44" s="29"/>
      <c r="AC44" s="29"/>
      <c r="AD44" t="s">
        <v>140</v>
      </c>
      <c r="AE44" s="29"/>
      <c r="AF44" s="29" t="s">
        <v>10</v>
      </c>
      <c r="AG44" s="29"/>
      <c r="AH44" s="29"/>
    </row>
    <row r="45" spans="1:35" x14ac:dyDescent="0.2">
      <c r="A45" s="28"/>
      <c r="B45" s="283"/>
      <c r="C45" s="284"/>
      <c r="D45" s="239"/>
      <c r="E45" s="202"/>
      <c r="F45" s="236"/>
      <c r="G45" s="283"/>
      <c r="H45" s="284"/>
      <c r="I45" s="239"/>
      <c r="J45" s="202"/>
      <c r="K45" s="202"/>
      <c r="L45" s="236"/>
      <c r="M45" s="203"/>
      <c r="N45" s="283"/>
      <c r="O45" s="284"/>
      <c r="P45" s="342"/>
      <c r="Q45" s="344"/>
      <c r="R45" s="342"/>
      <c r="S45" s="343"/>
      <c r="T45" s="344"/>
      <c r="U45" s="51"/>
      <c r="V45" s="31"/>
      <c r="W45" s="51"/>
      <c r="X45" s="51"/>
      <c r="Y45" s="51"/>
      <c r="Z45" s="52"/>
      <c r="AB45" s="29"/>
      <c r="AC45" s="29"/>
      <c r="AE45" s="29"/>
      <c r="AF45" s="29"/>
      <c r="AG45" s="29"/>
      <c r="AH45" s="29"/>
    </row>
    <row r="46" spans="1:35" x14ac:dyDescent="0.2">
      <c r="A46" s="28"/>
      <c r="B46" s="56"/>
      <c r="C46" s="57"/>
      <c r="D46" s="57"/>
      <c r="E46" s="57"/>
      <c r="F46" s="57"/>
      <c r="G46" s="57"/>
      <c r="H46" s="57"/>
      <c r="I46" s="57"/>
      <c r="J46" s="58"/>
      <c r="K46" s="58"/>
      <c r="L46" s="57"/>
      <c r="M46" s="57"/>
      <c r="N46" s="57"/>
      <c r="O46" s="57"/>
      <c r="P46" s="57"/>
      <c r="Q46" s="59"/>
      <c r="R46" s="59"/>
      <c r="S46" s="59"/>
      <c r="T46" s="59"/>
      <c r="U46" s="60"/>
      <c r="V46" s="31"/>
      <c r="W46" s="248" t="s">
        <v>408</v>
      </c>
      <c r="X46" s="51"/>
      <c r="Y46" s="51"/>
      <c r="Z46" s="52"/>
      <c r="AB46" s="29"/>
      <c r="AC46" s="29"/>
      <c r="AE46" s="29"/>
      <c r="AF46" s="29"/>
      <c r="AG46" s="29"/>
      <c r="AH46" s="29"/>
    </row>
    <row r="47" spans="1:35" x14ac:dyDescent="0.2">
      <c r="A47" s="32"/>
      <c r="B47" s="304" t="s">
        <v>116</v>
      </c>
      <c r="C47" s="309"/>
      <c r="D47" s="309"/>
      <c r="E47" s="305"/>
      <c r="F47" s="304" t="s">
        <v>316</v>
      </c>
      <c r="G47" s="309"/>
      <c r="H47" s="309"/>
      <c r="I47" s="309"/>
      <c r="J47" s="309"/>
      <c r="K47" s="305"/>
      <c r="L47" s="249" t="s">
        <v>118</v>
      </c>
      <c r="M47" s="250"/>
      <c r="N47" s="251"/>
      <c r="O47" s="249" t="s">
        <v>119</v>
      </c>
      <c r="P47" s="250"/>
      <c r="Q47" s="251"/>
      <c r="R47" s="304" t="s">
        <v>265</v>
      </c>
      <c r="S47" s="305"/>
      <c r="T47" s="304" t="s">
        <v>266</v>
      </c>
      <c r="U47" s="305"/>
      <c r="V47" s="240"/>
      <c r="W47" s="248" t="s">
        <v>409</v>
      </c>
      <c r="X47" s="29"/>
      <c r="Y47" s="29"/>
      <c r="Z47" s="31"/>
      <c r="AB47" s="29"/>
      <c r="AC47" s="29"/>
      <c r="AD47" t="s">
        <v>5</v>
      </c>
      <c r="AE47" s="29"/>
      <c r="AF47" s="29"/>
      <c r="AG47" s="29"/>
      <c r="AH47" s="29"/>
      <c r="AI47" t="s">
        <v>265</v>
      </c>
    </row>
    <row r="48" spans="1:35" x14ac:dyDescent="0.2">
      <c r="A48" s="32"/>
      <c r="B48" s="306"/>
      <c r="C48" s="331"/>
      <c r="D48" s="331"/>
      <c r="E48" s="307"/>
      <c r="F48" s="306"/>
      <c r="G48" s="331"/>
      <c r="H48" s="331"/>
      <c r="I48" s="331"/>
      <c r="J48" s="331"/>
      <c r="K48" s="307"/>
      <c r="L48" s="249" t="s">
        <v>117</v>
      </c>
      <c r="M48" s="250"/>
      <c r="N48" s="251"/>
      <c r="O48" s="249" t="s">
        <v>132</v>
      </c>
      <c r="P48" s="250"/>
      <c r="Q48" s="251"/>
      <c r="R48" s="306"/>
      <c r="S48" s="307"/>
      <c r="T48" s="306"/>
      <c r="U48" s="307"/>
      <c r="V48" s="240"/>
      <c r="W48" s="248" t="s">
        <v>410</v>
      </c>
      <c r="X48" s="29"/>
      <c r="Y48" s="29"/>
      <c r="Z48" s="31"/>
      <c r="AB48" s="29"/>
      <c r="AC48" s="29"/>
      <c r="AD48" t="s">
        <v>10</v>
      </c>
      <c r="AE48" s="29"/>
      <c r="AF48" s="29" t="s">
        <v>23</v>
      </c>
      <c r="AG48" s="29"/>
      <c r="AH48" s="29"/>
      <c r="AI48" t="s">
        <v>266</v>
      </c>
    </row>
    <row r="49" spans="1:35" x14ac:dyDescent="0.2">
      <c r="A49" s="32"/>
      <c r="B49" s="317" t="s">
        <v>195</v>
      </c>
      <c r="C49" s="318"/>
      <c r="D49" s="318"/>
      <c r="E49" s="319"/>
      <c r="F49" s="323" t="s">
        <v>267</v>
      </c>
      <c r="G49" s="324"/>
      <c r="H49" s="324"/>
      <c r="I49" s="324"/>
      <c r="J49" s="324"/>
      <c r="K49" s="325"/>
      <c r="L49" s="162" t="s">
        <v>133</v>
      </c>
      <c r="M49" s="163"/>
      <c r="N49" s="164"/>
      <c r="O49" s="162" t="s">
        <v>134</v>
      </c>
      <c r="P49" s="163"/>
      <c r="Q49" s="164"/>
      <c r="R49" s="334" t="s">
        <v>149</v>
      </c>
      <c r="S49" s="335"/>
      <c r="T49" s="334" t="s">
        <v>148</v>
      </c>
      <c r="U49" s="335"/>
      <c r="V49" s="240"/>
      <c r="W49" s="29"/>
      <c r="X49" s="29"/>
      <c r="Y49" s="29"/>
      <c r="Z49" s="31"/>
      <c r="AB49" s="29"/>
      <c r="AC49" s="29"/>
      <c r="AD49" t="s">
        <v>244</v>
      </c>
      <c r="AE49" s="29"/>
      <c r="AF49" s="29" t="s">
        <v>24</v>
      </c>
      <c r="AG49" s="29"/>
      <c r="AH49" s="29"/>
      <c r="AI49" t="s">
        <v>144</v>
      </c>
    </row>
    <row r="50" spans="1:35" x14ac:dyDescent="0.2">
      <c r="A50" s="37"/>
      <c r="B50" s="320"/>
      <c r="C50" s="321"/>
      <c r="D50" s="321"/>
      <c r="E50" s="322"/>
      <c r="F50" s="326"/>
      <c r="G50" s="327"/>
      <c r="H50" s="327"/>
      <c r="I50" s="327"/>
      <c r="J50" s="327"/>
      <c r="K50" s="328"/>
      <c r="L50" s="162" t="s">
        <v>133</v>
      </c>
      <c r="M50" s="163"/>
      <c r="N50" s="164"/>
      <c r="O50" s="162" t="s">
        <v>134</v>
      </c>
      <c r="P50" s="163"/>
      <c r="Q50" s="164"/>
      <c r="R50" s="336"/>
      <c r="S50" s="337"/>
      <c r="T50" s="336"/>
      <c r="U50" s="337"/>
      <c r="V50" s="240"/>
      <c r="W50" s="248" t="s">
        <v>512</v>
      </c>
      <c r="X50" s="29"/>
      <c r="Y50" s="29"/>
      <c r="Z50" s="31"/>
      <c r="AB50" s="29"/>
      <c r="AC50" s="29"/>
      <c r="AD50" s="29"/>
      <c r="AE50" s="29"/>
      <c r="AF50" s="29" t="s">
        <v>255</v>
      </c>
      <c r="AG50" s="29"/>
      <c r="AH50" s="29"/>
    </row>
    <row r="51" spans="1:35" x14ac:dyDescent="0.2">
      <c r="A51" s="32"/>
      <c r="B51" s="195"/>
      <c r="C51" s="57"/>
      <c r="D51" s="57"/>
      <c r="E51" s="57"/>
      <c r="F51" s="57"/>
      <c r="G51" s="57"/>
      <c r="H51" s="57"/>
      <c r="I51" s="57"/>
      <c r="J51" s="58"/>
      <c r="K51" s="58"/>
      <c r="L51" s="57"/>
      <c r="M51" s="57"/>
      <c r="N51" s="57"/>
      <c r="O51" s="57"/>
      <c r="P51" s="57"/>
      <c r="Q51" s="59"/>
      <c r="R51" s="59"/>
      <c r="S51" s="59"/>
      <c r="T51" s="59"/>
      <c r="U51" s="60"/>
      <c r="V51" s="31"/>
      <c r="W51" s="248" t="s">
        <v>513</v>
      </c>
      <c r="X51" s="29"/>
      <c r="Y51" s="29"/>
      <c r="Z51" s="31"/>
      <c r="AF51" s="29" t="s">
        <v>256</v>
      </c>
      <c r="AG51" s="29"/>
    </row>
    <row r="52" spans="1:35" ht="13.5" customHeight="1" x14ac:dyDescent="0.2">
      <c r="A52" s="32"/>
      <c r="B52" s="56"/>
      <c r="C52" s="57"/>
      <c r="D52" s="57"/>
      <c r="E52" s="57"/>
      <c r="F52" s="57"/>
      <c r="G52" s="57"/>
      <c r="H52" s="195"/>
      <c r="I52" s="195"/>
      <c r="J52" s="195"/>
      <c r="K52" s="195"/>
      <c r="L52" s="195"/>
      <c r="M52" s="57"/>
      <c r="N52" s="57"/>
      <c r="O52" s="57"/>
      <c r="P52" s="57"/>
      <c r="Q52" s="59"/>
      <c r="R52" s="59"/>
      <c r="S52" s="59"/>
      <c r="T52" s="59"/>
      <c r="U52" s="60"/>
      <c r="V52" s="31"/>
      <c r="W52" s="248" t="s">
        <v>517</v>
      </c>
      <c r="X52" s="29"/>
      <c r="Y52" s="29"/>
      <c r="Z52" s="31"/>
      <c r="AB52" s="29"/>
      <c r="AC52" s="53"/>
      <c r="AD52" s="53"/>
      <c r="AE52" s="53"/>
      <c r="AF52" s="29" t="s">
        <v>257</v>
      </c>
      <c r="AG52" s="53"/>
      <c r="AH52" s="29"/>
    </row>
    <row r="53" spans="1:35" s="195" customFormat="1" x14ac:dyDescent="0.2">
      <c r="A53" s="198"/>
      <c r="B53" s="56"/>
      <c r="C53" s="57"/>
      <c r="D53" s="57"/>
      <c r="E53" s="57"/>
      <c r="F53" s="57"/>
      <c r="G53" s="57"/>
      <c r="M53" s="57"/>
      <c r="N53" s="57"/>
      <c r="O53" s="57"/>
      <c r="P53" s="57"/>
      <c r="Q53" s="59"/>
      <c r="R53" s="59"/>
      <c r="S53" s="59"/>
      <c r="T53" s="59"/>
      <c r="U53" s="60"/>
      <c r="V53" s="197"/>
      <c r="W53" s="248"/>
      <c r="X53" s="196"/>
      <c r="Y53" s="196"/>
      <c r="Z53" s="197"/>
      <c r="AF53" s="53" t="s">
        <v>258</v>
      </c>
    </row>
    <row r="54" spans="1:35" s="195" customFormat="1" x14ac:dyDescent="0.2">
      <c r="A54" s="198"/>
      <c r="B54" s="56"/>
      <c r="C54" s="57"/>
      <c r="D54" s="57"/>
      <c r="E54" s="57"/>
      <c r="F54" s="57"/>
      <c r="G54" s="57"/>
      <c r="H54" s="57"/>
      <c r="I54" s="57"/>
      <c r="J54" s="58"/>
      <c r="K54" s="58"/>
      <c r="L54" s="57"/>
      <c r="M54" s="57"/>
      <c r="N54" s="57"/>
      <c r="O54" s="57"/>
      <c r="P54" s="57"/>
      <c r="Q54" s="59"/>
      <c r="R54" s="59"/>
      <c r="S54" s="59"/>
      <c r="T54" s="59"/>
      <c r="U54" s="60"/>
      <c r="V54" s="197"/>
      <c r="W54" s="248"/>
      <c r="X54" s="196"/>
      <c r="Y54" s="196"/>
      <c r="Z54" s="197"/>
      <c r="AF54" s="237" t="s">
        <v>259</v>
      </c>
    </row>
    <row r="55" spans="1:35" s="195" customFormat="1" x14ac:dyDescent="0.2">
      <c r="A55" s="198"/>
      <c r="B55" s="56"/>
      <c r="C55" s="57"/>
      <c r="D55" s="57"/>
      <c r="E55" s="57"/>
      <c r="F55" s="57"/>
      <c r="G55" s="57"/>
      <c r="O55" s="57"/>
      <c r="P55" s="57"/>
      <c r="Q55" s="59"/>
      <c r="R55" s="59"/>
      <c r="S55" s="59"/>
      <c r="T55" s="59"/>
      <c r="U55" s="60"/>
      <c r="V55" s="197"/>
      <c r="W55" s="29"/>
      <c r="X55" s="196"/>
      <c r="Y55" s="196"/>
      <c r="Z55" s="197"/>
      <c r="AF55" s="237" t="s">
        <v>260</v>
      </c>
    </row>
    <row r="56" spans="1:35" s="195" customFormat="1" x14ac:dyDescent="0.2">
      <c r="A56" s="198"/>
      <c r="B56" s="56"/>
      <c r="C56" s="57"/>
      <c r="D56" s="57"/>
      <c r="E56" s="57"/>
      <c r="F56" s="57"/>
      <c r="G56" s="57"/>
      <c r="O56" s="57"/>
      <c r="P56" s="57"/>
      <c r="Q56" s="59"/>
      <c r="R56" s="59"/>
      <c r="S56" s="59"/>
      <c r="T56" s="59"/>
      <c r="U56" s="60"/>
      <c r="V56" s="197"/>
      <c r="W56" s="196"/>
      <c r="X56" s="196"/>
      <c r="Y56" s="196"/>
      <c r="Z56" s="197"/>
      <c r="AF56" s="237" t="s">
        <v>261</v>
      </c>
    </row>
    <row r="57" spans="1:35" s="195" customFormat="1" x14ac:dyDescent="0.2">
      <c r="A57" s="198"/>
      <c r="B57" s="56"/>
      <c r="C57" s="57"/>
      <c r="D57" s="57"/>
      <c r="E57" s="57"/>
      <c r="F57" s="57"/>
      <c r="G57" s="57"/>
      <c r="H57" s="57"/>
      <c r="I57" s="57"/>
      <c r="J57" s="58"/>
      <c r="K57" s="58"/>
      <c r="L57" s="57"/>
      <c r="M57" s="57"/>
      <c r="N57" s="57"/>
      <c r="O57" s="57"/>
      <c r="P57" s="57"/>
      <c r="Q57" s="59"/>
      <c r="R57" s="59"/>
      <c r="S57" s="59"/>
      <c r="T57" s="59"/>
      <c r="U57" s="60"/>
      <c r="V57" s="197"/>
      <c r="W57" s="196"/>
      <c r="X57" s="196"/>
      <c r="Y57" s="196"/>
      <c r="Z57" s="197"/>
      <c r="AF57" s="237" t="s">
        <v>262</v>
      </c>
    </row>
    <row r="58" spans="1:35" s="195" customFormat="1" x14ac:dyDescent="0.2">
      <c r="A58" s="198"/>
      <c r="B58" s="56"/>
      <c r="C58" s="57"/>
      <c r="D58" s="57"/>
      <c r="E58" s="57"/>
      <c r="F58" s="57"/>
      <c r="G58" s="57"/>
      <c r="H58" s="57"/>
      <c r="I58" s="57"/>
      <c r="J58" s="58"/>
      <c r="K58" s="58"/>
      <c r="L58" s="57"/>
      <c r="M58" s="57"/>
      <c r="N58" s="57"/>
      <c r="O58" s="57"/>
      <c r="P58" s="57"/>
      <c r="Q58" s="59"/>
      <c r="R58" s="59"/>
      <c r="S58" s="59"/>
      <c r="T58" s="59"/>
      <c r="U58" s="60"/>
      <c r="V58" s="197"/>
      <c r="W58" s="196"/>
      <c r="X58" s="196"/>
      <c r="Y58" s="196"/>
      <c r="Z58" s="197"/>
      <c r="AF58" s="237" t="s">
        <v>263</v>
      </c>
    </row>
    <row r="59" spans="1:35" s="195" customFormat="1" x14ac:dyDescent="0.2">
      <c r="A59" s="198"/>
      <c r="B59" s="56"/>
      <c r="C59" s="57"/>
      <c r="D59" s="57"/>
      <c r="E59" s="57"/>
      <c r="F59" s="57"/>
      <c r="G59" s="57"/>
      <c r="H59" s="57"/>
      <c r="I59" s="57"/>
      <c r="J59" s="58"/>
      <c r="K59" s="58"/>
      <c r="L59" s="57"/>
      <c r="M59" s="57"/>
      <c r="N59" s="57"/>
      <c r="O59" s="57"/>
      <c r="P59" s="57"/>
      <c r="Q59" s="59"/>
      <c r="R59" s="59"/>
      <c r="S59" s="59"/>
      <c r="T59" s="59"/>
      <c r="U59" s="60"/>
      <c r="V59" s="197"/>
      <c r="W59" s="196"/>
      <c r="X59" s="196"/>
      <c r="Y59" s="196"/>
      <c r="Z59" s="197"/>
      <c r="AF59" s="237" t="s">
        <v>264</v>
      </c>
    </row>
    <row r="60" spans="1:35" x14ac:dyDescent="0.2">
      <c r="A60" s="32"/>
      <c r="V60" s="31"/>
      <c r="W60" s="29"/>
      <c r="X60" s="29"/>
      <c r="Y60" s="29"/>
      <c r="Z60" s="31"/>
      <c r="AB60" s="29"/>
      <c r="AC60" s="55"/>
      <c r="AD60" s="54"/>
      <c r="AE60" s="54"/>
      <c r="AF60" s="195"/>
      <c r="AG60" s="29"/>
      <c r="AH60" s="29"/>
    </row>
    <row r="61" spans="1:35" x14ac:dyDescent="0.2">
      <c r="A61" s="32"/>
      <c r="B61" s="56"/>
      <c r="C61" s="57"/>
      <c r="D61" s="57"/>
      <c r="E61" s="57"/>
      <c r="F61" s="57"/>
      <c r="G61" s="57"/>
      <c r="H61" s="57"/>
      <c r="I61" s="57"/>
      <c r="J61" s="58"/>
      <c r="K61" s="58"/>
      <c r="L61" s="57"/>
      <c r="M61" s="57"/>
      <c r="N61" s="57"/>
      <c r="O61" s="57"/>
      <c r="P61" s="57"/>
      <c r="Q61" s="59"/>
      <c r="R61" s="59"/>
      <c r="V61" s="31"/>
      <c r="W61" s="29"/>
      <c r="X61" s="29"/>
      <c r="Y61" s="29"/>
      <c r="Z61" s="31"/>
      <c r="AB61" s="29"/>
      <c r="AC61" s="55"/>
      <c r="AD61" s="55"/>
      <c r="AE61" s="53"/>
      <c r="AF61" s="54"/>
      <c r="AG61" s="29"/>
      <c r="AH61" s="29"/>
    </row>
    <row r="62" spans="1:35" ht="13.5" customHeight="1" x14ac:dyDescent="0.2">
      <c r="A62" s="32"/>
      <c r="B62" s="56"/>
      <c r="C62" s="57"/>
      <c r="D62" s="57"/>
      <c r="E62" s="57"/>
      <c r="F62" s="57"/>
      <c r="G62" s="57"/>
      <c r="H62" s="57"/>
      <c r="I62" s="57"/>
      <c r="J62" s="58"/>
      <c r="K62" s="58"/>
      <c r="L62" s="57"/>
      <c r="M62" s="57"/>
      <c r="N62" s="57"/>
      <c r="O62" s="57"/>
      <c r="P62" s="57"/>
      <c r="Q62" s="59"/>
      <c r="R62" s="59"/>
      <c r="V62" s="31"/>
      <c r="W62" s="29"/>
      <c r="X62" s="29"/>
      <c r="Y62" s="29"/>
      <c r="Z62" s="31"/>
      <c r="AB62" s="29"/>
      <c r="AC62" s="29"/>
      <c r="AD62" s="29"/>
      <c r="AE62" s="29"/>
      <c r="AF62" s="53"/>
      <c r="AG62" s="29"/>
      <c r="AH62" s="29"/>
    </row>
    <row r="63" spans="1:35" x14ac:dyDescent="0.2">
      <c r="A63" s="32"/>
      <c r="B63" s="56"/>
      <c r="C63" s="57"/>
      <c r="D63" s="57"/>
      <c r="E63" s="57"/>
      <c r="F63" s="57"/>
      <c r="G63" s="57"/>
      <c r="H63" s="57"/>
      <c r="I63" s="57"/>
      <c r="J63" s="58"/>
      <c r="K63" s="58"/>
      <c r="L63" s="57"/>
      <c r="M63" s="57"/>
      <c r="N63" s="57"/>
      <c r="O63" s="57"/>
      <c r="P63" s="57"/>
      <c r="Q63" s="59"/>
      <c r="R63" s="59"/>
      <c r="V63" s="31"/>
      <c r="W63" s="29"/>
      <c r="X63" s="29"/>
      <c r="Y63" s="29"/>
      <c r="Z63" s="31"/>
      <c r="AB63" s="29"/>
      <c r="AC63" s="55"/>
      <c r="AD63" s="55"/>
      <c r="AE63" s="55"/>
      <c r="AF63" s="29"/>
      <c r="AG63" s="55"/>
      <c r="AH63" s="29"/>
    </row>
    <row r="64" spans="1:35" ht="13.5" customHeight="1" x14ac:dyDescent="0.2">
      <c r="A64" s="32"/>
      <c r="V64" s="31"/>
      <c r="W64" s="29"/>
      <c r="X64" s="29"/>
      <c r="Y64" s="29"/>
      <c r="Z64" s="31"/>
      <c r="AB64" s="29"/>
      <c r="AC64" s="53"/>
      <c r="AD64" s="53"/>
      <c r="AE64" s="53"/>
      <c r="AF64" s="55"/>
      <c r="AG64" s="53"/>
      <c r="AH64" s="29"/>
    </row>
    <row r="65" spans="1:34" x14ac:dyDescent="0.2">
      <c r="A65" s="32"/>
      <c r="V65" s="31"/>
      <c r="W65" s="29"/>
      <c r="X65" s="29"/>
      <c r="Y65" s="29"/>
      <c r="Z65" s="31"/>
      <c r="AB65" s="29"/>
      <c r="AC65" s="29"/>
      <c r="AD65" s="29"/>
      <c r="AE65" s="29"/>
      <c r="AF65" s="53"/>
      <c r="AG65" s="29"/>
      <c r="AH65" s="29"/>
    </row>
    <row r="66" spans="1:34" x14ac:dyDescent="0.2">
      <c r="A66" s="32"/>
      <c r="V66" s="31"/>
      <c r="W66" s="29"/>
      <c r="X66" s="29"/>
      <c r="Y66" s="29"/>
      <c r="Z66" s="31"/>
      <c r="AB66" s="29"/>
      <c r="AC66" s="29"/>
      <c r="AD66" s="29"/>
      <c r="AE66" s="29"/>
      <c r="AF66" s="29"/>
      <c r="AG66" s="29"/>
      <c r="AH66" s="29"/>
    </row>
    <row r="67" spans="1:34" x14ac:dyDescent="0.2">
      <c r="A67" s="32"/>
      <c r="B67" s="56"/>
      <c r="C67" s="57"/>
      <c r="D67" s="57"/>
      <c r="E67" s="57"/>
      <c r="F67" s="57"/>
      <c r="L67" s="57"/>
      <c r="T67" s="59"/>
      <c r="U67" s="60"/>
      <c r="V67" s="31"/>
      <c r="W67" s="29"/>
      <c r="X67" s="29"/>
      <c r="Y67" s="29"/>
      <c r="Z67" s="31"/>
      <c r="AF67" s="29"/>
    </row>
    <row r="68" spans="1:34" x14ac:dyDescent="0.2">
      <c r="A68" s="32"/>
      <c r="B68" s="56"/>
      <c r="C68" s="57"/>
      <c r="D68" s="57"/>
      <c r="E68" s="57"/>
      <c r="F68" s="57"/>
      <c r="L68" s="57"/>
      <c r="T68" s="59"/>
      <c r="U68" s="60"/>
      <c r="V68" s="31"/>
      <c r="W68" s="29"/>
      <c r="X68" s="29"/>
      <c r="Y68" s="29"/>
      <c r="Z68" s="31"/>
    </row>
    <row r="69" spans="1:34" x14ac:dyDescent="0.2">
      <c r="A69" s="32"/>
      <c r="B69" s="56"/>
      <c r="C69" s="57"/>
      <c r="D69" s="57"/>
      <c r="E69" s="57"/>
      <c r="F69" s="57"/>
      <c r="G69" s="57"/>
      <c r="H69" s="57"/>
      <c r="I69" s="57"/>
      <c r="J69" s="58"/>
      <c r="K69" s="58"/>
      <c r="L69" s="57"/>
      <c r="M69" s="57"/>
      <c r="N69" s="57"/>
      <c r="O69" s="57"/>
      <c r="P69" s="57"/>
      <c r="Q69" s="59"/>
      <c r="R69" s="59"/>
      <c r="S69" s="59"/>
      <c r="T69" s="59"/>
      <c r="U69" s="60"/>
      <c r="V69" s="31"/>
      <c r="W69" s="29"/>
      <c r="X69" s="29"/>
      <c r="Y69" s="29"/>
      <c r="Z69" s="31"/>
    </row>
    <row r="70" spans="1:34" x14ac:dyDescent="0.2">
      <c r="A70" s="32"/>
      <c r="B70" s="56"/>
      <c r="C70" s="57"/>
      <c r="D70" s="57"/>
      <c r="E70" s="57"/>
      <c r="F70" s="57"/>
      <c r="G70" s="57"/>
      <c r="H70" s="57"/>
      <c r="I70" s="57"/>
      <c r="J70" s="58"/>
      <c r="K70" s="58"/>
      <c r="L70" s="57"/>
      <c r="M70" s="57"/>
      <c r="N70" s="57"/>
      <c r="O70" s="57"/>
      <c r="P70" s="57"/>
      <c r="Q70" s="59"/>
      <c r="R70" s="59"/>
      <c r="S70" s="59"/>
      <c r="T70" s="59"/>
      <c r="U70" s="60"/>
      <c r="V70" s="31"/>
      <c r="W70" s="29"/>
      <c r="X70" s="29"/>
      <c r="Y70" s="29"/>
      <c r="Z70" s="31"/>
    </row>
    <row r="71" spans="1:34" x14ac:dyDescent="0.2">
      <c r="A71" s="32"/>
      <c r="B71" s="56"/>
      <c r="C71" s="57"/>
      <c r="D71" s="57"/>
      <c r="E71" s="57"/>
      <c r="F71" s="57"/>
      <c r="G71" s="57"/>
      <c r="H71" s="57"/>
      <c r="I71" s="57"/>
      <c r="J71" s="58"/>
      <c r="K71" s="58"/>
      <c r="L71" s="57"/>
      <c r="M71" s="57"/>
      <c r="N71" s="57"/>
      <c r="O71" s="57"/>
      <c r="P71" s="57"/>
      <c r="Q71" s="59"/>
      <c r="R71" s="59"/>
      <c r="S71" s="59"/>
      <c r="T71" s="59"/>
      <c r="U71" s="60"/>
      <c r="V71" s="31"/>
      <c r="W71" s="29"/>
      <c r="X71" s="29"/>
      <c r="Y71" s="29"/>
      <c r="Z71" s="31"/>
    </row>
    <row r="72" spans="1:34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2"/>
      <c r="W72" s="41"/>
      <c r="X72" s="41"/>
      <c r="Y72" s="41"/>
      <c r="Z72" s="42"/>
    </row>
    <row r="73" spans="1:34" x14ac:dyDescent="0.2">
      <c r="A73" s="43" t="s">
        <v>137</v>
      </c>
      <c r="B73" s="44"/>
      <c r="C73" s="45" t="s">
        <v>249</v>
      </c>
      <c r="D73" s="46"/>
      <c r="E73" s="46"/>
      <c r="F73" s="9" t="s">
        <v>60</v>
      </c>
      <c r="G73" s="10"/>
      <c r="H73" s="11" t="s">
        <v>272</v>
      </c>
      <c r="I73" s="11"/>
      <c r="J73" s="11"/>
      <c r="K73" s="11"/>
      <c r="L73" s="11"/>
      <c r="M73" s="11"/>
      <c r="N73" s="47"/>
      <c r="O73" s="47"/>
      <c r="P73" s="47"/>
      <c r="Q73" s="47"/>
      <c r="R73" s="47"/>
      <c r="S73" s="47"/>
      <c r="T73" s="47"/>
      <c r="U73" s="47"/>
      <c r="V73" s="48"/>
      <c r="W73" s="44" t="s">
        <v>61</v>
      </c>
      <c r="X73" s="44"/>
      <c r="Y73" s="44"/>
      <c r="Z73" s="49"/>
    </row>
    <row r="74" spans="1:34" x14ac:dyDescent="0.2">
      <c r="A74" s="43" t="s">
        <v>62</v>
      </c>
      <c r="B74" s="44"/>
      <c r="C74" s="50" t="s">
        <v>248</v>
      </c>
      <c r="D74" s="46"/>
      <c r="E74" s="46"/>
      <c r="F74" s="9" t="s">
        <v>63</v>
      </c>
      <c r="G74" s="10"/>
      <c r="H74" s="11" t="s">
        <v>136</v>
      </c>
      <c r="I74" s="11"/>
      <c r="J74" s="11"/>
      <c r="K74" s="11"/>
      <c r="L74" s="11"/>
      <c r="M74" s="11"/>
      <c r="N74" s="47"/>
      <c r="O74" s="47"/>
      <c r="P74" s="47"/>
      <c r="Q74" s="47"/>
      <c r="R74" s="47"/>
      <c r="S74" s="47"/>
      <c r="T74" s="47"/>
      <c r="U74" s="47"/>
      <c r="V74" s="48"/>
      <c r="W74" s="26"/>
      <c r="X74" s="26"/>
      <c r="Y74" s="26"/>
      <c r="Z74" s="27"/>
    </row>
    <row r="75" spans="1:34" x14ac:dyDescent="0.2">
      <c r="A75" s="61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31"/>
      <c r="W75" s="29"/>
      <c r="X75" s="29"/>
      <c r="Y75" s="29"/>
      <c r="Z75" s="31"/>
    </row>
    <row r="76" spans="1:34" x14ac:dyDescent="0.2">
      <c r="A76" s="61"/>
      <c r="B76" s="132" t="s">
        <v>271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65"/>
      <c r="Q76" s="165"/>
      <c r="R76" s="165"/>
      <c r="S76" s="165"/>
      <c r="T76" s="165"/>
      <c r="U76" s="165"/>
      <c r="V76" s="31"/>
      <c r="W76" s="53"/>
      <c r="X76" s="29"/>
      <c r="Y76" s="29"/>
      <c r="Z76" s="31"/>
    </row>
    <row r="77" spans="1:34" x14ac:dyDescent="0.2">
      <c r="A77" s="61"/>
      <c r="B77" s="2"/>
      <c r="C77" s="2"/>
      <c r="D77" s="2"/>
      <c r="E77" s="2"/>
      <c r="F77" s="2"/>
      <c r="G77" s="2"/>
      <c r="H77" s="2"/>
      <c r="I77" s="2"/>
      <c r="J77" s="2"/>
      <c r="K77" s="2"/>
      <c r="L77" s="35"/>
      <c r="M77" s="35"/>
      <c r="N77" s="35"/>
      <c r="O77" s="35"/>
      <c r="P77" s="62"/>
      <c r="Q77" s="63"/>
      <c r="R77" s="62"/>
      <c r="S77" s="62"/>
      <c r="T77" s="62"/>
      <c r="U77" s="62"/>
      <c r="V77" s="31"/>
      <c r="W77" s="64"/>
      <c r="X77" s="29"/>
      <c r="Y77" s="29"/>
      <c r="Z77" s="31"/>
    </row>
    <row r="78" spans="1:34" x14ac:dyDescent="0.2">
      <c r="A78" s="32"/>
      <c r="B78" s="281" t="s">
        <v>140</v>
      </c>
      <c r="C78" s="329"/>
      <c r="D78" s="200"/>
      <c r="E78" s="200"/>
      <c r="F78" s="200"/>
      <c r="G78" s="281" t="s">
        <v>278</v>
      </c>
      <c r="H78" s="282"/>
      <c r="I78" s="238"/>
      <c r="J78" s="200"/>
      <c r="K78" s="200"/>
      <c r="L78" s="235"/>
      <c r="M78" s="313"/>
      <c r="N78" s="314"/>
      <c r="O78" s="281" t="s">
        <v>152</v>
      </c>
      <c r="P78" s="282"/>
      <c r="Q78" s="339"/>
      <c r="R78" s="341"/>
      <c r="S78" s="339"/>
      <c r="T78" s="340"/>
      <c r="U78" s="341"/>
      <c r="V78" s="31"/>
      <c r="W78" s="29"/>
      <c r="X78" s="29"/>
    </row>
    <row r="79" spans="1:34" x14ac:dyDescent="0.2">
      <c r="A79" s="28"/>
      <c r="B79" s="283"/>
      <c r="C79" s="330"/>
      <c r="D79" s="202"/>
      <c r="E79" s="202"/>
      <c r="F79" s="202"/>
      <c r="G79" s="283"/>
      <c r="H79" s="284"/>
      <c r="I79" s="239"/>
      <c r="J79" s="202"/>
      <c r="K79" s="202"/>
      <c r="L79" s="236"/>
      <c r="M79" s="315"/>
      <c r="N79" s="316"/>
      <c r="O79" s="283"/>
      <c r="P79" s="284"/>
      <c r="Q79" s="342"/>
      <c r="R79" s="344"/>
      <c r="S79" s="342"/>
      <c r="T79" s="343"/>
      <c r="U79" s="344"/>
      <c r="V79" s="52"/>
      <c r="W79" s="51"/>
      <c r="X79" s="51"/>
    </row>
    <row r="80" spans="1:34" x14ac:dyDescent="0.2">
      <c r="A80" s="28"/>
      <c r="B80" s="29"/>
      <c r="C80" s="204"/>
      <c r="D80" s="204"/>
      <c r="E80" s="205"/>
      <c r="F80" s="205"/>
      <c r="G80" s="204"/>
      <c r="H80" s="204"/>
      <c r="I80" s="205"/>
      <c r="J80" s="205"/>
      <c r="K80" s="205"/>
      <c r="L80" s="204"/>
      <c r="M80" s="204"/>
      <c r="N80" s="205"/>
      <c r="O80" s="205"/>
      <c r="P80" s="29"/>
      <c r="Q80" s="29"/>
      <c r="R80" s="29"/>
      <c r="S80" s="29"/>
      <c r="T80" s="29"/>
      <c r="U80" s="29"/>
      <c r="V80" s="31"/>
      <c r="W80" s="29"/>
      <c r="X80" s="29"/>
      <c r="Y80" s="29"/>
      <c r="Z80" s="31"/>
    </row>
    <row r="81" spans="1:34" x14ac:dyDescent="0.2">
      <c r="A81" s="32"/>
      <c r="B81" s="304" t="s">
        <v>116</v>
      </c>
      <c r="C81" s="309"/>
      <c r="D81" s="309"/>
      <c r="E81" s="305"/>
      <c r="F81" s="304" t="s">
        <v>354</v>
      </c>
      <c r="G81" s="309"/>
      <c r="H81" s="309"/>
      <c r="I81" s="309"/>
      <c r="J81" s="309"/>
      <c r="K81" s="305"/>
      <c r="L81" s="159" t="s">
        <v>118</v>
      </c>
      <c r="M81" s="160"/>
      <c r="N81" s="161"/>
      <c r="O81" s="159" t="s">
        <v>119</v>
      </c>
      <c r="P81" s="160"/>
      <c r="Q81" s="161"/>
      <c r="R81" s="304" t="s">
        <v>265</v>
      </c>
      <c r="S81" s="305"/>
      <c r="T81" s="304" t="s">
        <v>266</v>
      </c>
      <c r="U81" s="305"/>
      <c r="V81" s="240"/>
      <c r="W81" s="248" t="s">
        <v>408</v>
      </c>
      <c r="X81" s="29"/>
      <c r="Y81" s="29"/>
      <c r="Z81" s="31"/>
      <c r="AB81" s="29"/>
      <c r="AC81" s="29"/>
      <c r="AE81" s="29"/>
      <c r="AF81" s="29"/>
      <c r="AG81" s="29"/>
      <c r="AH81" s="29"/>
    </row>
    <row r="82" spans="1:34" x14ac:dyDescent="0.2">
      <c r="A82" s="32"/>
      <c r="B82" s="306"/>
      <c r="C82" s="331"/>
      <c r="D82" s="331"/>
      <c r="E82" s="307"/>
      <c r="F82" s="306"/>
      <c r="G82" s="331"/>
      <c r="H82" s="331"/>
      <c r="I82" s="331"/>
      <c r="J82" s="331"/>
      <c r="K82" s="307"/>
      <c r="L82" s="159" t="s">
        <v>117</v>
      </c>
      <c r="M82" s="160"/>
      <c r="N82" s="161"/>
      <c r="O82" s="159" t="s">
        <v>132</v>
      </c>
      <c r="P82" s="160"/>
      <c r="Q82" s="161"/>
      <c r="R82" s="306"/>
      <c r="S82" s="307"/>
      <c r="T82" s="306"/>
      <c r="U82" s="307"/>
      <c r="V82" s="240"/>
      <c r="W82" s="248" t="s">
        <v>411</v>
      </c>
      <c r="X82" s="29"/>
      <c r="Y82" s="29"/>
      <c r="Z82" s="31"/>
      <c r="AB82" s="29"/>
      <c r="AC82" s="29"/>
      <c r="AE82" s="29"/>
      <c r="AF82" s="29"/>
      <c r="AG82" s="29"/>
      <c r="AH82" s="29"/>
    </row>
    <row r="83" spans="1:34" x14ac:dyDescent="0.2">
      <c r="A83" s="32"/>
      <c r="B83" s="317" t="s">
        <v>195</v>
      </c>
      <c r="C83" s="318"/>
      <c r="D83" s="318"/>
      <c r="E83" s="319"/>
      <c r="F83" s="323" t="s">
        <v>267</v>
      </c>
      <c r="G83" s="324"/>
      <c r="H83" s="324"/>
      <c r="I83" s="324"/>
      <c r="J83" s="324"/>
      <c r="K83" s="325"/>
      <c r="L83" s="162" t="s">
        <v>133</v>
      </c>
      <c r="M83" s="163"/>
      <c r="N83" s="164"/>
      <c r="O83" s="162" t="s">
        <v>134</v>
      </c>
      <c r="P83" s="163"/>
      <c r="Q83" s="164"/>
      <c r="R83" s="334" t="s">
        <v>149</v>
      </c>
      <c r="S83" s="335"/>
      <c r="T83" s="334" t="s">
        <v>14</v>
      </c>
      <c r="U83" s="335"/>
      <c r="V83" s="240"/>
      <c r="W83" s="248" t="s">
        <v>412</v>
      </c>
      <c r="X83" s="29"/>
      <c r="Y83" s="29"/>
      <c r="Z83" s="31"/>
      <c r="AB83" s="29"/>
      <c r="AC83" s="29"/>
      <c r="AE83" s="29"/>
      <c r="AF83" s="29"/>
      <c r="AG83" s="29"/>
      <c r="AH83" s="29"/>
    </row>
    <row r="84" spans="1:34" x14ac:dyDescent="0.2">
      <c r="A84" s="37"/>
      <c r="B84" s="320"/>
      <c r="C84" s="321"/>
      <c r="D84" s="321"/>
      <c r="E84" s="322"/>
      <c r="F84" s="326"/>
      <c r="G84" s="327"/>
      <c r="H84" s="327"/>
      <c r="I84" s="327"/>
      <c r="J84" s="327"/>
      <c r="K84" s="328"/>
      <c r="L84" s="162" t="s">
        <v>133</v>
      </c>
      <c r="M84" s="163"/>
      <c r="N84" s="164"/>
      <c r="O84" s="162" t="s">
        <v>134</v>
      </c>
      <c r="P84" s="163"/>
      <c r="Q84" s="164"/>
      <c r="R84" s="336"/>
      <c r="S84" s="337"/>
      <c r="T84" s="336"/>
      <c r="U84" s="337"/>
      <c r="V84" s="240"/>
      <c r="W84" s="29"/>
      <c r="X84" s="29"/>
      <c r="Y84" s="29"/>
      <c r="Z84" s="31"/>
      <c r="AB84" s="29"/>
      <c r="AC84" s="29"/>
      <c r="AD84" s="29"/>
      <c r="AE84" s="29"/>
      <c r="AF84" s="29"/>
      <c r="AG84" s="29"/>
      <c r="AH84" s="29"/>
    </row>
    <row r="85" spans="1:34" x14ac:dyDescent="0.2">
      <c r="A85" s="61"/>
      <c r="T85" s="62"/>
      <c r="U85" s="62"/>
      <c r="V85" s="31"/>
      <c r="W85" s="29"/>
      <c r="X85" s="29"/>
      <c r="Y85" s="29"/>
      <c r="Z85" s="31"/>
    </row>
    <row r="86" spans="1:34" x14ac:dyDescent="0.2">
      <c r="A86" s="37"/>
      <c r="B86" s="216" t="s">
        <v>268</v>
      </c>
      <c r="C86" s="216"/>
      <c r="D86" s="252" t="s">
        <v>149</v>
      </c>
      <c r="E86" s="216" t="s">
        <v>270</v>
      </c>
      <c r="F86" s="216"/>
      <c r="G86" s="252" t="s">
        <v>150</v>
      </c>
      <c r="H86" s="216" t="s">
        <v>269</v>
      </c>
      <c r="I86" s="216"/>
      <c r="J86" s="252" t="s">
        <v>148</v>
      </c>
      <c r="K86" s="216" t="s">
        <v>31</v>
      </c>
      <c r="L86" s="216"/>
      <c r="M86" s="252" t="s">
        <v>151</v>
      </c>
      <c r="T86" s="65"/>
      <c r="U86" s="67"/>
      <c r="V86" s="31"/>
      <c r="W86" s="248" t="s">
        <v>408</v>
      </c>
      <c r="X86" s="29"/>
      <c r="Y86" s="29"/>
      <c r="Z86" s="31"/>
    </row>
    <row r="87" spans="1:34" x14ac:dyDescent="0.2">
      <c r="A87" s="66"/>
      <c r="T87" s="62"/>
      <c r="U87" s="29"/>
      <c r="V87" s="31"/>
      <c r="W87" s="248" t="s">
        <v>409</v>
      </c>
      <c r="X87" s="29"/>
      <c r="Y87" s="29"/>
      <c r="Z87" s="31"/>
    </row>
    <row r="88" spans="1:34" x14ac:dyDescent="0.2">
      <c r="A88" s="28"/>
      <c r="B88" s="206" t="s">
        <v>13</v>
      </c>
      <c r="C88" s="332" t="s">
        <v>10</v>
      </c>
      <c r="D88" s="332"/>
      <c r="E88" s="332"/>
      <c r="F88" s="332"/>
      <c r="G88" s="332" t="s">
        <v>11</v>
      </c>
      <c r="H88" s="332"/>
      <c r="I88" s="332"/>
      <c r="J88" s="332"/>
      <c r="K88" s="332"/>
      <c r="L88" s="332"/>
      <c r="M88" s="332" t="s">
        <v>265</v>
      </c>
      <c r="N88" s="332"/>
      <c r="O88" s="332" t="s">
        <v>270</v>
      </c>
      <c r="P88" s="332"/>
      <c r="Q88" s="29"/>
      <c r="R88" s="29"/>
      <c r="S88" s="29"/>
      <c r="T88" s="29"/>
      <c r="U88" s="29"/>
      <c r="V88" s="31"/>
      <c r="W88" s="248" t="s">
        <v>410</v>
      </c>
      <c r="X88" s="29"/>
      <c r="Y88" s="29"/>
      <c r="Z88" s="31"/>
    </row>
    <row r="89" spans="1:34" x14ac:dyDescent="0.2">
      <c r="A89" s="61"/>
      <c r="B89" s="252" t="s">
        <v>14</v>
      </c>
      <c r="C89" s="303" t="s">
        <v>23</v>
      </c>
      <c r="D89" s="303"/>
      <c r="E89" s="303"/>
      <c r="F89" s="303"/>
      <c r="G89" s="303" t="s">
        <v>32</v>
      </c>
      <c r="H89" s="303"/>
      <c r="I89" s="303"/>
      <c r="J89" s="303"/>
      <c r="K89" s="303"/>
      <c r="L89" s="303"/>
      <c r="M89" s="338" t="s">
        <v>27</v>
      </c>
      <c r="N89" s="338"/>
      <c r="O89" s="333" t="s">
        <v>25</v>
      </c>
      <c r="P89" s="333"/>
      <c r="Q89" s="29"/>
      <c r="R89" s="29"/>
      <c r="S89" s="29"/>
      <c r="T89" s="29"/>
      <c r="U89" s="29"/>
      <c r="V89" s="31"/>
      <c r="W89" s="248" t="s">
        <v>410</v>
      </c>
      <c r="X89" s="29"/>
      <c r="Y89" s="29"/>
      <c r="Z89" s="31"/>
    </row>
    <row r="90" spans="1:34" ht="13.5" customHeight="1" x14ac:dyDescent="0.2">
      <c r="A90" s="33"/>
      <c r="B90" s="252" t="s">
        <v>9</v>
      </c>
      <c r="C90" s="303" t="s">
        <v>23</v>
      </c>
      <c r="D90" s="303"/>
      <c r="E90" s="303"/>
      <c r="F90" s="303"/>
      <c r="G90" s="303" t="s">
        <v>33</v>
      </c>
      <c r="H90" s="303"/>
      <c r="I90" s="303"/>
      <c r="J90" s="303"/>
      <c r="K90" s="303"/>
      <c r="L90" s="303"/>
      <c r="M90" s="338" t="s">
        <v>27</v>
      </c>
      <c r="N90" s="338"/>
      <c r="O90" s="333" t="s">
        <v>25</v>
      </c>
      <c r="P90" s="333"/>
      <c r="Q90" s="29"/>
      <c r="R90" s="29"/>
      <c r="S90" s="29"/>
      <c r="T90" s="29"/>
      <c r="U90" s="29"/>
      <c r="V90" s="31"/>
      <c r="W90" s="29"/>
      <c r="X90" s="29"/>
      <c r="Y90" s="29"/>
      <c r="Z90" s="31"/>
    </row>
    <row r="91" spans="1:34" x14ac:dyDescent="0.2">
      <c r="A91" s="66"/>
      <c r="B91" s="252" t="s">
        <v>15</v>
      </c>
      <c r="C91" s="303" t="s">
        <v>23</v>
      </c>
      <c r="D91" s="303"/>
      <c r="E91" s="303"/>
      <c r="F91" s="303"/>
      <c r="G91" s="303" t="s">
        <v>34</v>
      </c>
      <c r="H91" s="303"/>
      <c r="I91" s="303"/>
      <c r="J91" s="303"/>
      <c r="K91" s="303"/>
      <c r="L91" s="303"/>
      <c r="M91" s="338" t="s">
        <v>26</v>
      </c>
      <c r="N91" s="338"/>
      <c r="O91" s="333" t="s">
        <v>149</v>
      </c>
      <c r="P91" s="333"/>
      <c r="Q91" s="29"/>
      <c r="R91" s="29"/>
      <c r="S91" s="29"/>
      <c r="T91" s="29"/>
      <c r="U91" s="29"/>
      <c r="V91" s="31"/>
      <c r="W91" s="248" t="s">
        <v>512</v>
      </c>
      <c r="X91" s="29"/>
      <c r="Y91" s="29"/>
      <c r="Z91" s="31"/>
    </row>
    <row r="92" spans="1:34" x14ac:dyDescent="0.2">
      <c r="A92" s="37"/>
      <c r="B92" s="252" t="s">
        <v>16</v>
      </c>
      <c r="C92" s="303" t="s">
        <v>23</v>
      </c>
      <c r="D92" s="303"/>
      <c r="E92" s="303"/>
      <c r="F92" s="303"/>
      <c r="G92" s="303" t="s">
        <v>35</v>
      </c>
      <c r="H92" s="303"/>
      <c r="I92" s="303"/>
      <c r="J92" s="303"/>
      <c r="K92" s="303"/>
      <c r="L92" s="303"/>
      <c r="M92" s="338" t="s">
        <v>27</v>
      </c>
      <c r="N92" s="338"/>
      <c r="O92" s="333" t="s">
        <v>25</v>
      </c>
      <c r="P92" s="333"/>
      <c r="Q92" s="29"/>
      <c r="R92" s="29"/>
      <c r="S92" s="29"/>
      <c r="T92" s="29"/>
      <c r="U92" s="29"/>
      <c r="V92" s="31"/>
      <c r="W92" s="248" t="s">
        <v>513</v>
      </c>
      <c r="X92" s="29"/>
      <c r="Y92" s="29"/>
      <c r="Z92" s="31"/>
    </row>
    <row r="93" spans="1:34" ht="13.5" customHeight="1" x14ac:dyDescent="0.2">
      <c r="A93" s="37"/>
      <c r="B93" s="252" t="s">
        <v>17</v>
      </c>
      <c r="C93" s="303" t="s">
        <v>23</v>
      </c>
      <c r="D93" s="303"/>
      <c r="E93" s="303"/>
      <c r="F93" s="303"/>
      <c r="G93" s="303" t="s">
        <v>36</v>
      </c>
      <c r="H93" s="303"/>
      <c r="I93" s="303"/>
      <c r="J93" s="303"/>
      <c r="K93" s="303"/>
      <c r="L93" s="303"/>
      <c r="M93" s="338" t="s">
        <v>27</v>
      </c>
      <c r="N93" s="338"/>
      <c r="O93" s="333" t="s">
        <v>25</v>
      </c>
      <c r="P93" s="333"/>
      <c r="Q93" s="29"/>
      <c r="R93" s="29"/>
      <c r="S93" s="29"/>
      <c r="T93" s="29"/>
      <c r="U93" s="29"/>
      <c r="V93" s="31"/>
      <c r="W93" s="248" t="s">
        <v>514</v>
      </c>
      <c r="X93" s="29"/>
      <c r="Y93" s="29"/>
      <c r="Z93" s="31"/>
    </row>
    <row r="94" spans="1:34" ht="13.5" customHeight="1" x14ac:dyDescent="0.2">
      <c r="A94" s="37"/>
      <c r="B94" s="252" t="s">
        <v>18</v>
      </c>
      <c r="C94" s="303" t="s">
        <v>23</v>
      </c>
      <c r="D94" s="303"/>
      <c r="E94" s="303"/>
      <c r="F94" s="303"/>
      <c r="G94" s="303" t="s">
        <v>4</v>
      </c>
      <c r="H94" s="303"/>
      <c r="I94" s="303"/>
      <c r="J94" s="303"/>
      <c r="K94" s="303"/>
      <c r="L94" s="303"/>
      <c r="M94" s="338" t="s">
        <v>26</v>
      </c>
      <c r="N94" s="338"/>
      <c r="O94" s="333" t="s">
        <v>148</v>
      </c>
      <c r="P94" s="333"/>
      <c r="Q94" s="29"/>
      <c r="R94" s="29"/>
      <c r="S94" s="29"/>
      <c r="T94" s="29"/>
      <c r="U94" s="29"/>
      <c r="V94" s="31"/>
      <c r="W94" s="248" t="s">
        <v>515</v>
      </c>
      <c r="X94" s="29"/>
      <c r="Y94" s="29"/>
      <c r="Z94" s="31"/>
    </row>
    <row r="95" spans="1:34" x14ac:dyDescent="0.2">
      <c r="A95" s="66"/>
      <c r="B95" s="252" t="s">
        <v>19</v>
      </c>
      <c r="C95" s="303" t="s">
        <v>23</v>
      </c>
      <c r="D95" s="303"/>
      <c r="E95" s="303"/>
      <c r="F95" s="303"/>
      <c r="G95" s="303" t="s">
        <v>37</v>
      </c>
      <c r="H95" s="303"/>
      <c r="I95" s="303"/>
      <c r="J95" s="303"/>
      <c r="K95" s="303"/>
      <c r="L95" s="303"/>
      <c r="M95" s="338" t="s">
        <v>28</v>
      </c>
      <c r="N95" s="338"/>
      <c r="O95" s="333" t="s">
        <v>25</v>
      </c>
      <c r="P95" s="333"/>
      <c r="Q95" s="29"/>
      <c r="R95" s="29"/>
      <c r="S95" s="29"/>
      <c r="T95" s="29"/>
      <c r="U95" s="29"/>
      <c r="V95" s="31"/>
      <c r="W95" s="248" t="s">
        <v>516</v>
      </c>
      <c r="X95" s="29"/>
      <c r="Y95" s="29"/>
      <c r="Z95" s="31"/>
    </row>
    <row r="96" spans="1:34" x14ac:dyDescent="0.2">
      <c r="A96" s="66"/>
      <c r="B96" s="252" t="s">
        <v>20</v>
      </c>
      <c r="C96" s="303" t="s">
        <v>23</v>
      </c>
      <c r="D96" s="303"/>
      <c r="E96" s="303"/>
      <c r="F96" s="303"/>
      <c r="G96" s="303" t="s">
        <v>38</v>
      </c>
      <c r="H96" s="303"/>
      <c r="I96" s="303"/>
      <c r="J96" s="303"/>
      <c r="K96" s="303"/>
      <c r="L96" s="303"/>
      <c r="M96" s="338" t="s">
        <v>27</v>
      </c>
      <c r="N96" s="338"/>
      <c r="O96" s="333" t="s">
        <v>25</v>
      </c>
      <c r="P96" s="333"/>
      <c r="Q96" s="29"/>
      <c r="R96" s="29"/>
      <c r="S96" s="29"/>
      <c r="T96" s="29"/>
      <c r="U96" s="29"/>
      <c r="V96" s="31"/>
      <c r="W96" s="29"/>
      <c r="X96" s="29"/>
      <c r="Y96" s="29"/>
      <c r="Z96" s="31"/>
    </row>
    <row r="97" spans="1:26" x14ac:dyDescent="0.2">
      <c r="A97" s="66"/>
      <c r="B97" s="252" t="s">
        <v>21</v>
      </c>
      <c r="C97" s="303" t="s">
        <v>24</v>
      </c>
      <c r="D97" s="303"/>
      <c r="E97" s="303"/>
      <c r="F97" s="303"/>
      <c r="G97" s="303" t="s">
        <v>39</v>
      </c>
      <c r="H97" s="303"/>
      <c r="I97" s="303"/>
      <c r="J97" s="303"/>
      <c r="K97" s="303"/>
      <c r="L97" s="303"/>
      <c r="M97" s="338" t="s">
        <v>27</v>
      </c>
      <c r="N97" s="338"/>
      <c r="O97" s="333" t="s">
        <v>25</v>
      </c>
      <c r="P97" s="333"/>
      <c r="Q97" s="29"/>
      <c r="R97" s="29"/>
      <c r="S97" s="29"/>
      <c r="T97" s="29"/>
      <c r="U97" s="29"/>
      <c r="V97" s="31"/>
      <c r="W97" s="29"/>
      <c r="X97" s="29"/>
      <c r="Y97" s="29"/>
      <c r="Z97" s="31"/>
    </row>
    <row r="98" spans="1:26" x14ac:dyDescent="0.2">
      <c r="A98" s="66"/>
      <c r="B98" s="252" t="s">
        <v>22</v>
      </c>
      <c r="C98" s="303" t="s">
        <v>24</v>
      </c>
      <c r="D98" s="303"/>
      <c r="E98" s="303"/>
      <c r="F98" s="303"/>
      <c r="G98" s="303" t="s">
        <v>4</v>
      </c>
      <c r="H98" s="303"/>
      <c r="I98" s="303"/>
      <c r="J98" s="303"/>
      <c r="K98" s="303"/>
      <c r="L98" s="303"/>
      <c r="M98" s="338" t="s">
        <v>26</v>
      </c>
      <c r="N98" s="338"/>
      <c r="O98" s="333" t="s">
        <v>25</v>
      </c>
      <c r="P98" s="333"/>
      <c r="Q98" s="29"/>
      <c r="R98" s="29"/>
      <c r="S98" s="29"/>
      <c r="T98" s="29"/>
      <c r="U98" s="29"/>
      <c r="V98" s="31"/>
      <c r="W98" s="29"/>
      <c r="X98" s="29"/>
      <c r="Y98" s="29"/>
      <c r="Z98" s="31"/>
    </row>
    <row r="99" spans="1:26" x14ac:dyDescent="0.2">
      <c r="A99" s="66"/>
      <c r="T99" s="62"/>
      <c r="U99" s="29"/>
      <c r="V99" s="31"/>
      <c r="W99" s="29"/>
      <c r="X99" s="29"/>
      <c r="Y99" s="29"/>
      <c r="Z99" s="31"/>
    </row>
    <row r="100" spans="1:26" x14ac:dyDescent="0.2">
      <c r="V100" s="174"/>
      <c r="W100" s="248"/>
      <c r="X100" s="29"/>
      <c r="Y100" s="29"/>
      <c r="Z100" s="31"/>
    </row>
    <row r="101" spans="1:26" x14ac:dyDescent="0.2">
      <c r="A101" s="66"/>
      <c r="T101" s="62"/>
      <c r="U101" s="29"/>
      <c r="V101" s="31"/>
      <c r="W101" s="29"/>
      <c r="X101" s="29"/>
      <c r="Y101" s="29"/>
      <c r="Z101" s="31"/>
    </row>
    <row r="102" spans="1:26" x14ac:dyDescent="0.2">
      <c r="A102" s="66"/>
      <c r="T102" s="62"/>
      <c r="U102" s="29"/>
      <c r="V102" s="31"/>
      <c r="W102" s="29"/>
      <c r="X102" s="29"/>
      <c r="Y102" s="29"/>
      <c r="Z102" s="31"/>
    </row>
    <row r="103" spans="1:26" x14ac:dyDescent="0.2">
      <c r="A103" s="66"/>
      <c r="T103" s="62"/>
      <c r="U103" s="29"/>
      <c r="V103" s="31"/>
      <c r="W103" s="29"/>
      <c r="X103" s="29"/>
      <c r="Y103" s="29"/>
      <c r="Z103" s="31"/>
    </row>
    <row r="104" spans="1:26" x14ac:dyDescent="0.2">
      <c r="A104" s="66"/>
      <c r="T104" s="62"/>
      <c r="U104" s="29"/>
      <c r="V104" s="31"/>
      <c r="W104" s="29"/>
      <c r="X104" s="29"/>
      <c r="Y104" s="29"/>
      <c r="Z104" s="31"/>
    </row>
    <row r="105" spans="1:26" x14ac:dyDescent="0.2">
      <c r="A105" s="66"/>
      <c r="T105" s="62"/>
      <c r="U105" s="29"/>
      <c r="V105" s="31"/>
      <c r="W105" s="29"/>
      <c r="X105" s="29"/>
      <c r="Y105" s="29"/>
      <c r="Z105" s="31"/>
    </row>
    <row r="106" spans="1:26" x14ac:dyDescent="0.2">
      <c r="A106" s="207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208"/>
      <c r="U106" s="41"/>
      <c r="V106" s="42"/>
      <c r="W106" s="41"/>
      <c r="X106" s="41"/>
      <c r="Y106" s="41"/>
      <c r="Z106" s="42"/>
    </row>
  </sheetData>
  <mergeCells count="94">
    <mergeCell ref="R44:T45"/>
    <mergeCell ref="C95:F95"/>
    <mergeCell ref="C91:F91"/>
    <mergeCell ref="G78:H79"/>
    <mergeCell ref="F49:K50"/>
    <mergeCell ref="C94:F94"/>
    <mergeCell ref="C92:F92"/>
    <mergeCell ref="C90:F90"/>
    <mergeCell ref="C88:F88"/>
    <mergeCell ref="M97:N97"/>
    <mergeCell ref="C98:F98"/>
    <mergeCell ref="C96:F96"/>
    <mergeCell ref="M98:N98"/>
    <mergeCell ref="C97:F97"/>
    <mergeCell ref="G98:L98"/>
    <mergeCell ref="M95:N95"/>
    <mergeCell ref="M96:N96"/>
    <mergeCell ref="W2:Z2"/>
    <mergeCell ref="S2:V2"/>
    <mergeCell ref="N2:R2"/>
    <mergeCell ref="O89:P89"/>
    <mergeCell ref="R81:S82"/>
    <mergeCell ref="O93:P93"/>
    <mergeCell ref="O94:P94"/>
    <mergeCell ref="M93:N93"/>
    <mergeCell ref="M94:N94"/>
    <mergeCell ref="M92:N92"/>
    <mergeCell ref="G91:L91"/>
    <mergeCell ref="G92:L92"/>
    <mergeCell ref="G93:L93"/>
    <mergeCell ref="G94:L94"/>
    <mergeCell ref="M91:N91"/>
    <mergeCell ref="R47:S48"/>
    <mergeCell ref="T47:U48"/>
    <mergeCell ref="R49:S50"/>
    <mergeCell ref="T49:U50"/>
    <mergeCell ref="T81:U82"/>
    <mergeCell ref="O90:P90"/>
    <mergeCell ref="S78:U79"/>
    <mergeCell ref="Q78:R79"/>
    <mergeCell ref="O78:P79"/>
    <mergeCell ref="G90:L90"/>
    <mergeCell ref="R83:S84"/>
    <mergeCell ref="T83:U84"/>
    <mergeCell ref="M88:N88"/>
    <mergeCell ref="M89:N89"/>
    <mergeCell ref="M90:N90"/>
    <mergeCell ref="O92:P92"/>
    <mergeCell ref="O88:P88"/>
    <mergeCell ref="O97:P97"/>
    <mergeCell ref="O98:P98"/>
    <mergeCell ref="O95:P95"/>
    <mergeCell ref="O96:P96"/>
    <mergeCell ref="O91:P91"/>
    <mergeCell ref="C93:F93"/>
    <mergeCell ref="B78:C79"/>
    <mergeCell ref="F81:K82"/>
    <mergeCell ref="F47:K48"/>
    <mergeCell ref="B49:E50"/>
    <mergeCell ref="B47:E48"/>
    <mergeCell ref="B81:E82"/>
    <mergeCell ref="C89:F89"/>
    <mergeCell ref="G88:L88"/>
    <mergeCell ref="G89:L89"/>
    <mergeCell ref="G95:L95"/>
    <mergeCell ref="B10:C11"/>
    <mergeCell ref="G96:L96"/>
    <mergeCell ref="G97:L97"/>
    <mergeCell ref="D10:G11"/>
    <mergeCell ref="H10:N11"/>
    <mergeCell ref="H12:N13"/>
    <mergeCell ref="M78:N79"/>
    <mergeCell ref="B83:E84"/>
    <mergeCell ref="F83:K84"/>
    <mergeCell ref="O10:Q11"/>
    <mergeCell ref="R10:T11"/>
    <mergeCell ref="R12:T13"/>
    <mergeCell ref="B14:C15"/>
    <mergeCell ref="D14:G15"/>
    <mergeCell ref="H14:N15"/>
    <mergeCell ref="O14:Q15"/>
    <mergeCell ref="R14:T15"/>
    <mergeCell ref="B12:C13"/>
    <mergeCell ref="D12:G13"/>
    <mergeCell ref="O12:Q13"/>
    <mergeCell ref="G44:H45"/>
    <mergeCell ref="R16:T17"/>
    <mergeCell ref="B16:C17"/>
    <mergeCell ref="D16:G17"/>
    <mergeCell ref="H16:N17"/>
    <mergeCell ref="O16:Q17"/>
    <mergeCell ref="B44:C45"/>
    <mergeCell ref="N44:O45"/>
    <mergeCell ref="P44:Q45"/>
  </mergeCells>
  <phoneticPr fontId="2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horizontalDpi="300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colBreaks count="1" manualBreakCount="1">
    <brk id="26" max="139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76" r:id="rId4" name="Drop Down 236">
              <controlPr defaultSize="0" autoLine="0" autoPict="0">
                <anchor moveWithCells="1">
                  <from>
                    <xdr:col>3</xdr:col>
                    <xdr:colOff>50800</xdr:colOff>
                    <xdr:row>43</xdr:row>
                    <xdr:rowOff>82550</xdr:rowOff>
                  </from>
                  <to>
                    <xdr:col>5</xdr:col>
                    <xdr:colOff>279400</xdr:colOff>
                    <xdr:row>44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4" r:id="rId5" name="Drop Down 294">
              <controlPr defaultSize="0" autoLine="0" autoPict="0">
                <anchor moveWithCells="1">
                  <from>
                    <xdr:col>16</xdr:col>
                    <xdr:colOff>44450</xdr:colOff>
                    <xdr:row>77</xdr:row>
                    <xdr:rowOff>76200</xdr:rowOff>
                  </from>
                  <to>
                    <xdr:col>17</xdr:col>
                    <xdr:colOff>317500</xdr:colOff>
                    <xdr:row>78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2" r:id="rId6" name="Drop Down 302">
              <controlPr defaultSize="0" autoLine="0" autoPict="0">
                <anchor moveWithCells="1">
                  <from>
                    <xdr:col>3</xdr:col>
                    <xdr:colOff>50800</xdr:colOff>
                    <xdr:row>77</xdr:row>
                    <xdr:rowOff>82550</xdr:rowOff>
                  </from>
                  <to>
                    <xdr:col>5</xdr:col>
                    <xdr:colOff>279400</xdr:colOff>
                    <xdr:row>78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6" r:id="rId7" name="Drop Down 326">
              <controlPr defaultSize="0" autoLine="0" autoPict="0">
                <anchor moveWithCells="1">
                  <from>
                    <xdr:col>8</xdr:col>
                    <xdr:colOff>50800</xdr:colOff>
                    <xdr:row>43</xdr:row>
                    <xdr:rowOff>82550</xdr:rowOff>
                  </from>
                  <to>
                    <xdr:col>11</xdr:col>
                    <xdr:colOff>279400</xdr:colOff>
                    <xdr:row>44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9" r:id="rId8" name="Drop Down 329">
              <controlPr defaultSize="0" autoLine="0" autoPict="0">
                <anchor moveWithCells="1">
                  <from>
                    <xdr:col>8</xdr:col>
                    <xdr:colOff>50800</xdr:colOff>
                    <xdr:row>77</xdr:row>
                    <xdr:rowOff>82550</xdr:rowOff>
                  </from>
                  <to>
                    <xdr:col>11</xdr:col>
                    <xdr:colOff>279400</xdr:colOff>
                    <xdr:row>78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2" r:id="rId9" name="Drop Down 332">
              <controlPr defaultSize="0" autoLine="0" autoPict="0">
                <anchor moveWithCells="1">
                  <from>
                    <xdr:col>15</xdr:col>
                    <xdr:colOff>44450</xdr:colOff>
                    <xdr:row>43</xdr:row>
                    <xdr:rowOff>76200</xdr:rowOff>
                  </from>
                  <to>
                    <xdr:col>16</xdr:col>
                    <xdr:colOff>317500</xdr:colOff>
                    <xdr:row>44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1AAE-CDFF-45F7-B7EE-F877267FCACF}">
  <sheetPr codeName="Sheet1"/>
  <dimension ref="A1:Z38"/>
  <sheetViews>
    <sheetView view="pageBreakPreview" zoomScale="85" zoomScaleNormal="100" zoomScaleSheetLayoutView="85" workbookViewId="0">
      <pane ySplit="3" topLeftCell="A4" activePane="bottomLeft" state="frozen"/>
      <selection activeCell="O17" sqref="O17"/>
      <selection pane="bottomLeft" activeCell="H37" sqref="H37"/>
    </sheetView>
  </sheetViews>
  <sheetFormatPr defaultColWidth="9" defaultRowHeight="13" x14ac:dyDescent="0.2"/>
  <cols>
    <col min="1" max="11" width="5.26953125" customWidth="1"/>
    <col min="12" max="12" width="5.08984375" customWidth="1"/>
    <col min="13" max="20" width="5.26953125" customWidth="1"/>
    <col min="21" max="21" width="10.90625" customWidth="1"/>
    <col min="22" max="25" width="5.26953125" customWidth="1"/>
    <col min="26" max="26" width="5.26953125" style="2" customWidth="1"/>
    <col min="27" max="16384" width="9" style="2"/>
  </cols>
  <sheetData>
    <row r="1" spans="1:26" ht="30" customHeight="1" thickBot="1" x14ac:dyDescent="0.25">
      <c r="Z1" s="1"/>
    </row>
    <row r="2" spans="1:26" ht="34.5" customHeight="1" x14ac:dyDescent="0.3">
      <c r="A2" s="3" t="s">
        <v>43</v>
      </c>
      <c r="B2" s="4"/>
      <c r="C2" s="5" t="s">
        <v>44</v>
      </c>
      <c r="D2" s="4"/>
      <c r="E2" s="4"/>
      <c r="F2" s="4"/>
      <c r="G2" s="4"/>
      <c r="H2" s="4"/>
      <c r="I2" s="4"/>
      <c r="J2" s="4"/>
      <c r="K2" s="4"/>
      <c r="L2" s="4"/>
      <c r="M2" s="4"/>
      <c r="N2" s="271" t="s">
        <v>254</v>
      </c>
      <c r="O2" s="272"/>
      <c r="P2" s="272"/>
      <c r="Q2" s="272"/>
      <c r="R2" s="272"/>
      <c r="S2" s="271" t="s">
        <v>251</v>
      </c>
      <c r="T2" s="271"/>
      <c r="U2" s="271"/>
      <c r="V2" s="271"/>
      <c r="W2" s="271" t="s">
        <v>250</v>
      </c>
      <c r="X2" s="271"/>
      <c r="Y2" s="271"/>
      <c r="Z2" s="271"/>
    </row>
    <row r="3" spans="1:26" ht="8.25" customHeight="1" x14ac:dyDescent="0.2">
      <c r="Z3"/>
    </row>
    <row r="4" spans="1:26" x14ac:dyDescent="0.2">
      <c r="A4" s="6" t="s">
        <v>45</v>
      </c>
      <c r="B4" s="7"/>
      <c r="C4" s="7"/>
      <c r="D4" s="8"/>
      <c r="E4" s="9" t="s">
        <v>46</v>
      </c>
      <c r="F4" s="10"/>
      <c r="G4" s="11" t="s">
        <v>340</v>
      </c>
      <c r="H4" s="12"/>
      <c r="I4" s="9" t="s">
        <v>47</v>
      </c>
      <c r="J4" s="10"/>
      <c r="K4" s="12" t="s">
        <v>252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 x14ac:dyDescent="0.2">
      <c r="A5" s="14" t="s">
        <v>48</v>
      </c>
      <c r="B5" s="15"/>
      <c r="C5" s="16"/>
      <c r="D5" s="17" t="s">
        <v>335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  <c r="S5" s="18" t="s">
        <v>49</v>
      </c>
      <c r="T5" s="19"/>
      <c r="U5" s="224"/>
      <c r="V5" s="224"/>
      <c r="W5" s="224"/>
      <c r="X5" s="224"/>
      <c r="Y5" s="224"/>
      <c r="Z5" s="226"/>
    </row>
    <row r="6" spans="1:26" x14ac:dyDescent="0.2">
      <c r="A6" s="14" t="s">
        <v>50</v>
      </c>
      <c r="B6" s="15"/>
      <c r="C6" s="16"/>
      <c r="D6" s="217" t="s">
        <v>339</v>
      </c>
      <c r="E6" s="12"/>
      <c r="F6" s="12"/>
      <c r="G6" s="12"/>
      <c r="H6" s="12"/>
      <c r="I6" s="12"/>
      <c r="J6" s="12"/>
      <c r="K6" s="12"/>
      <c r="L6" s="12"/>
      <c r="M6" s="12"/>
      <c r="N6" s="14" t="s">
        <v>51</v>
      </c>
      <c r="O6" s="16"/>
      <c r="P6" s="12" t="s">
        <v>52</v>
      </c>
      <c r="Q6" s="20"/>
      <c r="R6" s="21"/>
      <c r="S6" s="22" t="s">
        <v>53</v>
      </c>
      <c r="T6" s="225"/>
      <c r="U6" s="227" t="s">
        <v>183</v>
      </c>
      <c r="V6" s="228"/>
      <c r="W6" s="229"/>
      <c r="X6" s="229"/>
      <c r="Y6" s="229"/>
      <c r="Z6" s="113"/>
    </row>
    <row r="7" spans="1:26" x14ac:dyDescent="0.2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22" t="s">
        <v>53</v>
      </c>
      <c r="T7" s="225"/>
      <c r="U7" s="230" t="s">
        <v>184</v>
      </c>
      <c r="V7" s="231"/>
      <c r="W7" s="229"/>
      <c r="X7" s="229"/>
      <c r="Y7" s="229"/>
      <c r="Z7" s="113"/>
    </row>
    <row r="8" spans="1:26" x14ac:dyDescent="0.2">
      <c r="A8" s="28"/>
      <c r="B8" s="29"/>
      <c r="C8" s="30" t="s">
        <v>54</v>
      </c>
      <c r="D8" s="29"/>
      <c r="E8" s="29"/>
      <c r="F8" s="29"/>
      <c r="G8" s="30" t="s">
        <v>55</v>
      </c>
      <c r="H8" s="29"/>
      <c r="I8" s="29"/>
      <c r="J8" s="29"/>
      <c r="K8" s="29"/>
      <c r="L8" s="30" t="s">
        <v>56</v>
      </c>
      <c r="M8" s="29"/>
      <c r="N8" s="29"/>
      <c r="O8" s="29"/>
      <c r="P8" s="30" t="s">
        <v>57</v>
      </c>
      <c r="Q8" s="29"/>
      <c r="R8" s="31"/>
      <c r="S8" s="22" t="s">
        <v>53</v>
      </c>
      <c r="T8" s="225"/>
      <c r="U8" s="227" t="s">
        <v>185</v>
      </c>
      <c r="V8" s="228"/>
      <c r="W8" s="229"/>
      <c r="X8" s="229"/>
      <c r="Y8" s="229"/>
      <c r="Z8" s="113"/>
    </row>
    <row r="9" spans="1:26" x14ac:dyDescent="0.2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/>
      <c r="S9" s="22" t="s">
        <v>53</v>
      </c>
      <c r="T9" s="225"/>
      <c r="U9" s="227" t="s">
        <v>186</v>
      </c>
      <c r="V9" s="228"/>
      <c r="W9" s="229"/>
      <c r="X9" s="229"/>
      <c r="Y9" s="229"/>
      <c r="Z9" s="113"/>
    </row>
    <row r="10" spans="1:26" x14ac:dyDescent="0.2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1"/>
      <c r="S10" s="22" t="s">
        <v>53</v>
      </c>
      <c r="T10" s="225"/>
      <c r="U10" s="227" t="s">
        <v>189</v>
      </c>
      <c r="V10" s="231"/>
      <c r="W10" s="229"/>
      <c r="X10" s="229"/>
      <c r="Y10" s="229"/>
      <c r="Z10" s="113"/>
    </row>
    <row r="11" spans="1:26" x14ac:dyDescent="0.2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1"/>
      <c r="S11" s="22" t="s">
        <v>53</v>
      </c>
      <c r="T11" s="225"/>
      <c r="U11" s="227" t="s">
        <v>187</v>
      </c>
      <c r="V11" s="23"/>
      <c r="W11" s="23"/>
      <c r="X11" s="23"/>
      <c r="Y11" s="23"/>
      <c r="Z11" s="24"/>
    </row>
    <row r="12" spans="1:26" x14ac:dyDescent="0.2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1"/>
      <c r="S12" s="22" t="s">
        <v>53</v>
      </c>
      <c r="T12" s="225"/>
      <c r="U12" s="223" t="s">
        <v>188</v>
      </c>
      <c r="V12" s="233"/>
      <c r="W12" s="129"/>
      <c r="X12" s="129"/>
      <c r="Y12" s="129"/>
      <c r="Z12" s="130"/>
    </row>
    <row r="13" spans="1:26" x14ac:dyDescent="0.2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1"/>
      <c r="S13" s="22" t="s">
        <v>53</v>
      </c>
      <c r="T13" s="225"/>
      <c r="U13" s="222" t="s">
        <v>245</v>
      </c>
      <c r="V13" s="232"/>
      <c r="W13" s="129"/>
      <c r="X13" s="129"/>
      <c r="Y13" s="129"/>
      <c r="Z13" s="130"/>
    </row>
    <row r="14" spans="1:26" x14ac:dyDescent="0.2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1"/>
      <c r="S14" s="22" t="s">
        <v>53</v>
      </c>
      <c r="T14" s="225"/>
      <c r="U14" s="222" t="s">
        <v>333</v>
      </c>
      <c r="V14" s="129"/>
      <c r="W14" s="129"/>
      <c r="X14" s="129"/>
      <c r="Y14" s="129"/>
      <c r="Z14" s="130"/>
    </row>
    <row r="15" spans="1:26" x14ac:dyDescent="0.2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1"/>
      <c r="S15" s="22" t="s">
        <v>53</v>
      </c>
      <c r="T15" s="225"/>
      <c r="U15" s="244" t="s">
        <v>334</v>
      </c>
      <c r="V15" s="129"/>
      <c r="W15" s="129"/>
      <c r="X15" s="129"/>
      <c r="Y15" s="129"/>
      <c r="Z15" s="130"/>
    </row>
    <row r="16" spans="1:26" x14ac:dyDescent="0.2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1"/>
      <c r="S16" s="22" t="s">
        <v>53</v>
      </c>
      <c r="T16" s="225"/>
      <c r="U16" s="222" t="s">
        <v>336</v>
      </c>
      <c r="V16" s="129"/>
      <c r="W16" s="129"/>
      <c r="X16" s="129"/>
      <c r="Y16" s="129"/>
      <c r="Z16" s="130"/>
    </row>
    <row r="17" spans="1:26" x14ac:dyDescent="0.2">
      <c r="A17" s="33"/>
      <c r="B17" s="34"/>
      <c r="C17" s="35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1"/>
      <c r="S17" s="22" t="s">
        <v>53</v>
      </c>
      <c r="T17" s="225"/>
      <c r="U17" s="175"/>
      <c r="V17" s="129"/>
      <c r="W17" s="129"/>
      <c r="X17" s="129"/>
      <c r="Y17" s="129"/>
      <c r="Z17" s="130"/>
    </row>
    <row r="18" spans="1:26" x14ac:dyDescent="0.2">
      <c r="A18" s="32"/>
      <c r="B18" s="3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1"/>
      <c r="S18" s="32"/>
      <c r="T18" s="29"/>
      <c r="U18" s="29"/>
      <c r="V18" s="29"/>
      <c r="W18" s="29"/>
      <c r="X18" s="29"/>
      <c r="Y18" s="29"/>
      <c r="Z18" s="31"/>
    </row>
    <row r="19" spans="1:26" x14ac:dyDescent="0.2">
      <c r="A19" s="37"/>
      <c r="B19" s="35"/>
      <c r="C19" s="35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1"/>
      <c r="S19" s="32"/>
      <c r="T19" s="29"/>
      <c r="U19" s="29"/>
      <c r="V19" s="29"/>
      <c r="W19" s="29"/>
      <c r="X19" s="29"/>
      <c r="Y19" s="29"/>
      <c r="Z19" s="31"/>
    </row>
    <row r="20" spans="1:26" x14ac:dyDescent="0.2">
      <c r="A20" s="37"/>
      <c r="B20" s="35"/>
      <c r="C20" s="35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1"/>
      <c r="S20" s="32"/>
      <c r="T20" s="29"/>
      <c r="U20" s="29"/>
      <c r="V20" s="29"/>
      <c r="W20" s="29"/>
      <c r="X20" s="29"/>
      <c r="Y20" s="29"/>
      <c r="Z20" s="31"/>
    </row>
    <row r="21" spans="1:26" x14ac:dyDescent="0.2">
      <c r="A21" s="37"/>
      <c r="B21" s="35"/>
      <c r="C21" s="35"/>
      <c r="D21" s="38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1"/>
      <c r="S21" s="32"/>
      <c r="T21" s="29"/>
      <c r="U21" s="29"/>
      <c r="V21" s="29"/>
      <c r="W21" s="29"/>
      <c r="X21" s="29"/>
      <c r="Y21" s="29"/>
      <c r="Z21" s="31"/>
    </row>
    <row r="22" spans="1:26" x14ac:dyDescent="0.2">
      <c r="A22" s="32"/>
      <c r="B22" s="29"/>
      <c r="C22" s="29"/>
      <c r="D22" s="38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1"/>
      <c r="S22" s="32"/>
      <c r="T22" s="29"/>
      <c r="U22" s="29"/>
      <c r="V22" s="29"/>
      <c r="W22" s="29"/>
      <c r="X22" s="29"/>
      <c r="Y22" s="29"/>
      <c r="Z22" s="31"/>
    </row>
    <row r="23" spans="1:26" x14ac:dyDescent="0.2">
      <c r="A23" s="32"/>
      <c r="B23" s="29"/>
      <c r="C23" s="29"/>
      <c r="D23" s="38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1"/>
      <c r="S23" s="32"/>
      <c r="T23" s="29"/>
      <c r="U23" s="29"/>
      <c r="V23" s="29"/>
      <c r="W23" s="29"/>
      <c r="X23" s="29"/>
      <c r="Y23" s="29"/>
      <c r="Z23" s="31"/>
    </row>
    <row r="24" spans="1:26" x14ac:dyDescent="0.2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1"/>
      <c r="S24" s="32"/>
      <c r="T24" s="29"/>
      <c r="U24" s="29"/>
      <c r="V24" s="29"/>
      <c r="W24" s="29"/>
      <c r="X24" s="29"/>
      <c r="Y24" s="29"/>
      <c r="Z24" s="31"/>
    </row>
    <row r="25" spans="1:26" x14ac:dyDescent="0.2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31"/>
      <c r="S25" s="32"/>
      <c r="T25" s="29"/>
      <c r="U25" s="29"/>
      <c r="V25" s="29"/>
      <c r="W25" s="29"/>
      <c r="X25" s="29"/>
      <c r="Y25" s="29"/>
      <c r="Z25" s="31"/>
    </row>
    <row r="26" spans="1:26" x14ac:dyDescent="0.2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1"/>
      <c r="S26" s="32"/>
      <c r="T26" s="29"/>
      <c r="U26" s="29"/>
      <c r="V26" s="29"/>
      <c r="W26" s="29"/>
      <c r="X26" s="29"/>
      <c r="Y26" s="29"/>
      <c r="Z26" s="31"/>
    </row>
    <row r="27" spans="1:26" x14ac:dyDescent="0.2">
      <c r="A27" s="37"/>
      <c r="B27" s="35"/>
      <c r="C27" s="35"/>
      <c r="D27" s="35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31"/>
      <c r="S27" s="32"/>
      <c r="T27" s="29"/>
      <c r="U27" s="29"/>
      <c r="V27" s="29"/>
      <c r="W27" s="29"/>
      <c r="X27" s="29"/>
      <c r="Y27" s="29"/>
      <c r="Z27" s="31"/>
    </row>
    <row r="28" spans="1:26" x14ac:dyDescent="0.2">
      <c r="A28" s="32"/>
      <c r="B28" s="29"/>
      <c r="C28" s="29"/>
      <c r="D28" s="35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1"/>
      <c r="S28" s="32"/>
      <c r="T28" s="29"/>
      <c r="U28" s="29"/>
      <c r="V28" s="29"/>
      <c r="W28" s="29"/>
      <c r="X28" s="29"/>
      <c r="Y28" s="29"/>
      <c r="Z28" s="31"/>
    </row>
    <row r="29" spans="1:26" x14ac:dyDescent="0.2">
      <c r="A29" s="32"/>
      <c r="B29" s="29"/>
      <c r="C29" s="29"/>
      <c r="D29" s="38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31"/>
      <c r="S29" s="32"/>
      <c r="T29" s="29"/>
      <c r="U29" s="29"/>
      <c r="V29" s="29"/>
      <c r="W29" s="29"/>
      <c r="X29" s="29"/>
      <c r="Y29" s="29"/>
      <c r="Z29" s="31"/>
    </row>
    <row r="30" spans="1:26" x14ac:dyDescent="0.2">
      <c r="A30" s="32"/>
      <c r="B30" s="29"/>
      <c r="C30" s="29"/>
      <c r="D30" s="35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31"/>
      <c r="S30" s="32"/>
      <c r="T30" s="29"/>
      <c r="U30" s="29"/>
      <c r="V30" s="29"/>
      <c r="W30" s="29"/>
      <c r="X30" s="29"/>
      <c r="Y30" s="29"/>
      <c r="Z30" s="31"/>
    </row>
    <row r="31" spans="1:26" x14ac:dyDescent="0.2">
      <c r="A31" s="3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31"/>
      <c r="S31" s="32"/>
      <c r="T31" s="29"/>
      <c r="U31" s="29"/>
      <c r="V31" s="29"/>
      <c r="W31" s="29"/>
      <c r="X31" s="29"/>
      <c r="Y31" s="29"/>
      <c r="Z31" s="31"/>
    </row>
    <row r="32" spans="1:26" x14ac:dyDescent="0.2">
      <c r="A32" s="32"/>
      <c r="B32" s="29"/>
      <c r="C32" s="29"/>
      <c r="D32" s="3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31"/>
      <c r="S32" s="32"/>
      <c r="T32" s="29"/>
      <c r="U32" s="29"/>
      <c r="V32" s="29"/>
      <c r="W32" s="29"/>
      <c r="X32" s="29"/>
      <c r="Y32" s="29"/>
      <c r="Z32" s="31"/>
    </row>
    <row r="33" spans="1:26" x14ac:dyDescent="0.2">
      <c r="A33" s="32"/>
      <c r="B33" s="29"/>
      <c r="C33" s="29"/>
      <c r="D33" s="3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31"/>
      <c r="S33" s="32"/>
      <c r="T33" s="29"/>
      <c r="U33" s="29"/>
      <c r="V33" s="29"/>
      <c r="W33" s="29"/>
      <c r="X33" s="29"/>
      <c r="Y33" s="29"/>
      <c r="Z33" s="31"/>
    </row>
    <row r="34" spans="1:26" x14ac:dyDescent="0.2">
      <c r="A34" s="32"/>
      <c r="B34" s="29"/>
      <c r="C34" s="29"/>
      <c r="D34" s="3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31"/>
      <c r="S34" s="32"/>
      <c r="T34" s="29"/>
      <c r="U34" s="29"/>
      <c r="V34" s="29"/>
      <c r="W34" s="29"/>
      <c r="X34" s="29"/>
      <c r="Y34" s="29"/>
      <c r="Z34" s="31"/>
    </row>
    <row r="35" spans="1:26" x14ac:dyDescent="0.2">
      <c r="A35" s="3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31"/>
      <c r="S35" s="32"/>
      <c r="T35" s="29"/>
      <c r="U35" s="29"/>
      <c r="V35" s="29"/>
      <c r="W35" s="29"/>
      <c r="X35" s="29"/>
      <c r="Y35" s="29"/>
      <c r="Z35" s="31"/>
    </row>
    <row r="36" spans="1:26" x14ac:dyDescent="0.2">
      <c r="A36" s="32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31"/>
      <c r="S36" s="32"/>
      <c r="T36" s="29"/>
      <c r="U36" s="29"/>
      <c r="V36" s="29"/>
      <c r="W36" s="29"/>
      <c r="X36" s="29"/>
      <c r="Y36" s="29"/>
      <c r="Z36" s="31"/>
    </row>
    <row r="37" spans="1:26" x14ac:dyDescent="0.2">
      <c r="A37" s="32"/>
      <c r="B37" s="29"/>
      <c r="C37" s="29"/>
      <c r="D37" s="34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31"/>
      <c r="S37" s="32"/>
      <c r="T37" s="29"/>
      <c r="U37" s="29"/>
      <c r="V37" s="29"/>
      <c r="W37" s="29"/>
      <c r="X37" s="29"/>
      <c r="Y37" s="29"/>
      <c r="Z37" s="31"/>
    </row>
    <row r="38" spans="1:26" x14ac:dyDescent="0.2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2"/>
      <c r="S38" s="40"/>
      <c r="T38" s="41"/>
      <c r="U38" s="41"/>
      <c r="V38" s="41"/>
      <c r="W38" s="41"/>
      <c r="X38" s="41"/>
      <c r="Y38" s="41"/>
      <c r="Z38" s="42"/>
    </row>
  </sheetData>
  <mergeCells count="3">
    <mergeCell ref="W2:Z2"/>
    <mergeCell ref="S2:V2"/>
    <mergeCell ref="N2:R2"/>
  </mergeCells>
  <phoneticPr fontId="2"/>
  <pageMargins left="0.78740157480314965" right="0.78740157480314965" top="0.70866141732283472" bottom="0.78740157480314965" header="0.51181102362204722" footer="0.51181102362204722"/>
  <pageSetup paperSize="9" scale="92" fitToWidth="0" fitToHeight="0" orientation="landscape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2C5F-1602-40E5-ABD6-AF3E8FF10DF8}">
  <sheetPr codeName="Sheet5"/>
  <dimension ref="A1:Z59"/>
  <sheetViews>
    <sheetView view="pageBreakPreview" zoomScale="85" zoomScaleNormal="85" zoomScaleSheetLayoutView="85" workbookViewId="0">
      <pane ySplit="3" topLeftCell="A21" activePane="bottomLeft" state="frozen"/>
      <selection activeCell="B8" sqref="B8"/>
      <selection pane="bottomLeft" activeCell="O49" sqref="O49"/>
    </sheetView>
  </sheetViews>
  <sheetFormatPr defaultRowHeight="13" x14ac:dyDescent="0.2"/>
  <cols>
    <col min="1" max="11" width="5.26953125" customWidth="1"/>
    <col min="12" max="12" width="5.08984375" customWidth="1"/>
    <col min="13" max="13" width="5.26953125" bestFit="1" customWidth="1"/>
    <col min="14" max="18" width="5.26953125" customWidth="1"/>
    <col min="19" max="19" width="5.08984375" customWidth="1"/>
    <col min="20" max="26" width="5.26953125" customWidth="1"/>
  </cols>
  <sheetData>
    <row r="1" spans="1:26" ht="30" customHeight="1" thickBot="1" x14ac:dyDescent="0.25"/>
    <row r="2" spans="1:26" ht="34.5" customHeight="1" x14ac:dyDescent="0.3">
      <c r="A2" s="3" t="str">
        <f>画面構成!A2</f>
        <v>[BIRD]</v>
      </c>
      <c r="B2" s="4"/>
      <c r="C2" s="5" t="str">
        <f>画面構成!C2</f>
        <v>画面設計書</v>
      </c>
      <c r="D2" s="4"/>
      <c r="E2" s="4"/>
      <c r="F2" s="4"/>
      <c r="G2" s="4"/>
      <c r="H2" s="4"/>
      <c r="I2" s="4"/>
      <c r="J2" s="4"/>
      <c r="K2" s="4"/>
      <c r="L2" s="4"/>
      <c r="M2" s="4"/>
      <c r="N2" s="271" t="str">
        <f>画面構成!N2</f>
        <v>管理番号：DN-030103-019.01
分類　　　：要求仕様書</v>
      </c>
      <c r="O2" s="272"/>
      <c r="P2" s="272"/>
      <c r="Q2" s="272"/>
      <c r="R2" s="272"/>
      <c r="S2" s="271" t="str">
        <f>画面構成!S2</f>
        <v>更新者：ISID 加藤
更新日：2006/11/28</v>
      </c>
      <c r="T2" s="271"/>
      <c r="U2" s="271"/>
      <c r="V2" s="271"/>
      <c r="W2" s="271" t="str">
        <f>画面構成!W2</f>
        <v>作成者：ISID 加藤
作成日：2006/11/28</v>
      </c>
      <c r="X2" s="271"/>
      <c r="Y2" s="271"/>
      <c r="Z2" s="271"/>
    </row>
    <row r="3" spans="1:26" ht="8.25" customHeight="1" x14ac:dyDescent="0.2"/>
    <row r="4" spans="1:26" ht="13.5" customHeight="1" x14ac:dyDescent="0.2">
      <c r="A4" s="69" t="s">
        <v>66</v>
      </c>
      <c r="B4" s="7"/>
      <c r="C4" s="7"/>
      <c r="D4" s="8"/>
      <c r="E4" s="9" t="s">
        <v>46</v>
      </c>
      <c r="F4" s="10"/>
      <c r="G4" s="11" t="str">
        <f>画面構成!G4</f>
        <v>BEN016</v>
      </c>
      <c r="H4" s="12"/>
      <c r="I4" s="9" t="s">
        <v>47</v>
      </c>
      <c r="J4" s="10"/>
      <c r="K4" s="11" t="str">
        <f>画面構成!K4</f>
        <v>全国大会申込状況確認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 x14ac:dyDescent="0.2">
      <c r="A5" s="70" t="s">
        <v>60</v>
      </c>
      <c r="B5" s="71"/>
      <c r="C5" s="72" t="s">
        <v>338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4"/>
    </row>
    <row r="6" spans="1:26" x14ac:dyDescent="0.2">
      <c r="A6" s="43" t="s">
        <v>67</v>
      </c>
      <c r="B6" s="44"/>
      <c r="C6" s="49"/>
      <c r="D6" s="75" t="s">
        <v>68</v>
      </c>
      <c r="E6" s="75" t="s">
        <v>69</v>
      </c>
      <c r="F6" s="14" t="s">
        <v>70</v>
      </c>
      <c r="G6" s="16"/>
      <c r="H6" s="75" t="s">
        <v>71</v>
      </c>
      <c r="I6" s="76" t="s">
        <v>72</v>
      </c>
      <c r="J6" s="77"/>
      <c r="K6" s="14" t="s">
        <v>73</v>
      </c>
      <c r="L6" s="15"/>
      <c r="M6" s="16"/>
      <c r="N6" s="75" t="s">
        <v>74</v>
      </c>
      <c r="O6" s="76" t="s">
        <v>75</v>
      </c>
      <c r="P6" s="78"/>
      <c r="Q6" s="78"/>
      <c r="R6" s="77"/>
      <c r="S6" s="79"/>
      <c r="T6" s="77" t="s">
        <v>61</v>
      </c>
      <c r="U6" s="77"/>
      <c r="V6" s="77"/>
      <c r="W6" s="77"/>
      <c r="X6" s="77"/>
      <c r="Y6" s="77"/>
      <c r="Z6" s="79"/>
    </row>
    <row r="7" spans="1:26" x14ac:dyDescent="0.2">
      <c r="A7" s="80" t="s">
        <v>352</v>
      </c>
      <c r="B7" s="81"/>
      <c r="C7" s="81"/>
      <c r="D7" s="82"/>
      <c r="E7" s="82"/>
      <c r="F7" s="81"/>
      <c r="G7" s="81"/>
      <c r="H7" s="82"/>
      <c r="I7" s="81"/>
      <c r="J7" s="81"/>
      <c r="K7" s="81"/>
      <c r="L7" s="81"/>
      <c r="M7" s="81"/>
      <c r="N7" s="82"/>
      <c r="O7" s="83"/>
      <c r="P7" s="81"/>
      <c r="Q7" s="81"/>
      <c r="R7" s="84"/>
      <c r="S7" s="85"/>
      <c r="T7" s="85"/>
      <c r="U7" s="85"/>
      <c r="V7" s="85"/>
      <c r="W7" s="85"/>
      <c r="X7" s="85"/>
      <c r="Y7" s="85"/>
      <c r="Z7" s="86"/>
    </row>
    <row r="8" spans="1:26" ht="13.5" customHeight="1" x14ac:dyDescent="0.2">
      <c r="A8" s="87" t="s">
        <v>344</v>
      </c>
      <c r="B8" s="88"/>
      <c r="C8" s="89"/>
      <c r="D8" s="90" t="s">
        <v>77</v>
      </c>
      <c r="E8" s="90" t="s">
        <v>78</v>
      </c>
      <c r="F8" s="91" t="s">
        <v>166</v>
      </c>
      <c r="G8" s="92"/>
      <c r="H8" s="90" t="s">
        <v>79</v>
      </c>
      <c r="I8" s="91" t="s">
        <v>80</v>
      </c>
      <c r="J8" s="93"/>
      <c r="K8" s="91" t="s">
        <v>79</v>
      </c>
      <c r="L8" s="93"/>
      <c r="M8" s="92"/>
      <c r="N8" s="90" t="s">
        <v>76</v>
      </c>
      <c r="O8" s="94" t="s">
        <v>345</v>
      </c>
      <c r="P8" s="88"/>
      <c r="Q8" s="88"/>
      <c r="R8" s="95"/>
      <c r="S8" s="96"/>
      <c r="T8" s="97"/>
      <c r="U8" s="98"/>
      <c r="V8" s="98"/>
      <c r="W8" s="98"/>
      <c r="X8" s="98"/>
      <c r="Y8" s="98"/>
      <c r="Z8" s="24"/>
    </row>
    <row r="9" spans="1:26" x14ac:dyDescent="0.2">
      <c r="A9" s="87" t="s">
        <v>140</v>
      </c>
      <c r="B9" s="88"/>
      <c r="C9" s="89"/>
      <c r="D9" s="90" t="s">
        <v>76</v>
      </c>
      <c r="E9" s="90" t="s">
        <v>76</v>
      </c>
      <c r="F9" s="91" t="s">
        <v>165</v>
      </c>
      <c r="G9" s="92"/>
      <c r="H9" s="90"/>
      <c r="I9" s="91" t="s">
        <v>162</v>
      </c>
      <c r="J9" s="93"/>
      <c r="K9" s="91" t="s">
        <v>5</v>
      </c>
      <c r="L9" s="93"/>
      <c r="M9" s="92"/>
      <c r="N9" s="90" t="s">
        <v>76</v>
      </c>
      <c r="O9" s="94"/>
      <c r="P9" s="88"/>
      <c r="Q9" s="88"/>
      <c r="R9" s="95"/>
      <c r="S9" s="96"/>
      <c r="T9" s="97"/>
      <c r="U9" s="98"/>
      <c r="V9" s="98"/>
      <c r="W9" s="98"/>
      <c r="X9" s="98"/>
      <c r="Y9" s="98"/>
      <c r="Z9" s="24"/>
    </row>
    <row r="10" spans="1:26" x14ac:dyDescent="0.2">
      <c r="A10" s="87" t="s">
        <v>10</v>
      </c>
      <c r="B10" s="88"/>
      <c r="C10" s="88"/>
      <c r="D10" s="90" t="s">
        <v>76</v>
      </c>
      <c r="E10" s="90" t="s">
        <v>174</v>
      </c>
      <c r="F10" s="91" t="s">
        <v>165</v>
      </c>
      <c r="G10" s="92"/>
      <c r="H10" s="90"/>
      <c r="I10" s="91" t="s">
        <v>162</v>
      </c>
      <c r="J10" s="93"/>
      <c r="K10" s="91" t="s">
        <v>360</v>
      </c>
      <c r="L10" s="93"/>
      <c r="M10" s="92"/>
      <c r="N10" s="90" t="s">
        <v>346</v>
      </c>
      <c r="O10" s="94"/>
      <c r="P10" s="88"/>
      <c r="Q10" s="88"/>
      <c r="R10" s="95"/>
      <c r="S10" s="96"/>
      <c r="T10" s="97" t="s">
        <v>359</v>
      </c>
      <c r="U10" s="98"/>
      <c r="V10" s="98"/>
      <c r="W10" s="98"/>
      <c r="X10" s="98"/>
      <c r="Y10" s="98"/>
      <c r="Z10" s="24"/>
    </row>
    <row r="11" spans="1:26" x14ac:dyDescent="0.2">
      <c r="A11" s="87" t="s">
        <v>357</v>
      </c>
      <c r="B11" s="88"/>
      <c r="C11" s="88"/>
      <c r="D11" s="90" t="s">
        <v>76</v>
      </c>
      <c r="E11" s="90" t="s">
        <v>174</v>
      </c>
      <c r="F11" s="91" t="s">
        <v>348</v>
      </c>
      <c r="G11" s="92"/>
      <c r="H11" s="90"/>
      <c r="I11" s="345" t="s">
        <v>347</v>
      </c>
      <c r="J11" s="346"/>
      <c r="K11" s="91" t="s">
        <v>79</v>
      </c>
      <c r="L11" s="93"/>
      <c r="M11" s="92"/>
      <c r="N11" s="90" t="s">
        <v>76</v>
      </c>
      <c r="O11" s="94"/>
      <c r="P11" s="88"/>
      <c r="Q11" s="88"/>
      <c r="R11" s="95"/>
      <c r="S11" s="96"/>
      <c r="T11" s="97" t="s">
        <v>358</v>
      </c>
      <c r="U11" s="98"/>
      <c r="V11" s="98"/>
      <c r="W11" s="98"/>
      <c r="X11" s="98"/>
      <c r="Y11" s="98"/>
      <c r="Z11" s="24"/>
    </row>
    <row r="12" spans="1:26" ht="13.5" customHeight="1" x14ac:dyDescent="0.2">
      <c r="A12" s="87" t="s">
        <v>349</v>
      </c>
      <c r="B12" s="88"/>
      <c r="C12" s="89"/>
      <c r="D12" s="90" t="s">
        <v>77</v>
      </c>
      <c r="E12" s="90" t="s">
        <v>174</v>
      </c>
      <c r="F12" s="91" t="s">
        <v>166</v>
      </c>
      <c r="G12" s="92"/>
      <c r="H12" s="90" t="s">
        <v>79</v>
      </c>
      <c r="I12" s="91" t="s">
        <v>80</v>
      </c>
      <c r="J12" s="93"/>
      <c r="K12" s="91" t="s">
        <v>79</v>
      </c>
      <c r="L12" s="93"/>
      <c r="M12" s="92"/>
      <c r="N12" s="90" t="s">
        <v>76</v>
      </c>
      <c r="O12" s="94" t="s">
        <v>350</v>
      </c>
      <c r="P12" s="88"/>
      <c r="Q12" s="88"/>
      <c r="R12" s="95"/>
      <c r="S12" s="96"/>
      <c r="T12" s="97" t="s">
        <v>358</v>
      </c>
      <c r="U12" s="98"/>
      <c r="V12" s="98"/>
      <c r="W12" s="98"/>
      <c r="X12" s="98"/>
      <c r="Y12" s="98"/>
      <c r="Z12" s="24"/>
    </row>
    <row r="13" spans="1:26" ht="13.5" customHeight="1" x14ac:dyDescent="0.2">
      <c r="A13" s="87" t="s">
        <v>163</v>
      </c>
      <c r="B13" s="88"/>
      <c r="C13" s="89"/>
      <c r="D13" s="90" t="s">
        <v>77</v>
      </c>
      <c r="E13" s="90" t="s">
        <v>78</v>
      </c>
      <c r="F13" s="91" t="s">
        <v>166</v>
      </c>
      <c r="G13" s="92"/>
      <c r="H13" s="90" t="s">
        <v>79</v>
      </c>
      <c r="I13" s="91" t="s">
        <v>80</v>
      </c>
      <c r="J13" s="93"/>
      <c r="K13" s="91" t="s">
        <v>79</v>
      </c>
      <c r="L13" s="93"/>
      <c r="M13" s="92"/>
      <c r="N13" s="90" t="s">
        <v>76</v>
      </c>
      <c r="O13" s="94" t="s">
        <v>337</v>
      </c>
      <c r="P13" s="88"/>
      <c r="Q13" s="88"/>
      <c r="R13" s="95"/>
      <c r="S13" s="96"/>
      <c r="T13" s="97"/>
      <c r="U13" s="98"/>
      <c r="V13" s="98"/>
      <c r="W13" s="98"/>
      <c r="X13" s="98"/>
      <c r="Y13" s="98"/>
      <c r="Z13" s="24"/>
    </row>
    <row r="14" spans="1:26" ht="13.5" customHeight="1" x14ac:dyDescent="0.2">
      <c r="A14" s="87"/>
      <c r="B14" s="88"/>
      <c r="C14" s="89"/>
      <c r="D14" s="90"/>
      <c r="E14" s="90"/>
      <c r="F14" s="87"/>
      <c r="G14" s="89"/>
      <c r="H14" s="90"/>
      <c r="I14" s="87"/>
      <c r="J14" s="88"/>
      <c r="K14" s="91"/>
      <c r="L14" s="93"/>
      <c r="M14" s="92"/>
      <c r="N14" s="90"/>
      <c r="O14" s="94"/>
      <c r="P14" s="88"/>
      <c r="Q14" s="88"/>
      <c r="R14" s="95"/>
      <c r="S14" s="96"/>
      <c r="T14" s="97"/>
      <c r="U14" s="98"/>
      <c r="V14" s="98"/>
      <c r="W14" s="98"/>
      <c r="X14" s="98"/>
      <c r="Y14" s="98"/>
      <c r="Z14" s="24"/>
    </row>
    <row r="15" spans="1:26" x14ac:dyDescent="0.2">
      <c r="A15" s="80" t="s">
        <v>353</v>
      </c>
      <c r="B15" s="81"/>
      <c r="C15" s="81"/>
      <c r="D15" s="82"/>
      <c r="E15" s="82"/>
      <c r="F15" s="81"/>
      <c r="G15" s="81"/>
      <c r="H15" s="82"/>
      <c r="I15" s="81"/>
      <c r="J15" s="81"/>
      <c r="K15" s="81"/>
      <c r="L15" s="81"/>
      <c r="M15" s="81"/>
      <c r="N15" s="82"/>
      <c r="O15" s="83"/>
      <c r="P15" s="81"/>
      <c r="Q15" s="81"/>
      <c r="R15" s="84"/>
      <c r="S15" s="85"/>
      <c r="T15" s="85"/>
      <c r="U15" s="85"/>
      <c r="V15" s="85"/>
      <c r="W15" s="85"/>
      <c r="X15" s="85"/>
      <c r="Y15" s="85"/>
      <c r="Z15" s="86"/>
    </row>
    <row r="16" spans="1:26" ht="13.5" customHeight="1" x14ac:dyDescent="0.2">
      <c r="A16" s="87" t="s">
        <v>116</v>
      </c>
      <c r="B16" s="88"/>
      <c r="C16" s="89"/>
      <c r="D16" s="90" t="s">
        <v>77</v>
      </c>
      <c r="E16" s="90" t="s">
        <v>78</v>
      </c>
      <c r="F16" s="91" t="s">
        <v>83</v>
      </c>
      <c r="G16" s="92"/>
      <c r="H16" s="90"/>
      <c r="I16" s="91" t="s">
        <v>164</v>
      </c>
      <c r="J16" s="93"/>
      <c r="K16" s="91" t="s">
        <v>81</v>
      </c>
      <c r="L16" s="93"/>
      <c r="M16" s="92"/>
      <c r="N16" s="90" t="s">
        <v>76</v>
      </c>
      <c r="O16" s="94"/>
      <c r="P16" s="88"/>
      <c r="Q16" s="88"/>
      <c r="R16" s="95"/>
      <c r="S16" s="96"/>
      <c r="T16" s="97"/>
      <c r="U16" s="98"/>
      <c r="V16" s="98"/>
      <c r="W16" s="98"/>
      <c r="X16" s="98"/>
      <c r="Y16" s="98"/>
      <c r="Z16" s="24"/>
    </row>
    <row r="17" spans="1:26" x14ac:dyDescent="0.2">
      <c r="A17" s="87" t="s">
        <v>354</v>
      </c>
      <c r="B17" s="88"/>
      <c r="C17" s="89"/>
      <c r="D17" s="90" t="s">
        <v>77</v>
      </c>
      <c r="E17" s="90" t="s">
        <v>78</v>
      </c>
      <c r="F17" s="91" t="s">
        <v>165</v>
      </c>
      <c r="G17" s="92"/>
      <c r="H17" s="90"/>
      <c r="I17" s="91" t="s">
        <v>164</v>
      </c>
      <c r="J17" s="93"/>
      <c r="K17" s="91" t="s">
        <v>79</v>
      </c>
      <c r="L17" s="93"/>
      <c r="M17" s="92"/>
      <c r="N17" s="90" t="s">
        <v>76</v>
      </c>
      <c r="O17" s="94"/>
      <c r="P17" s="88"/>
      <c r="Q17" s="88"/>
      <c r="R17" s="95"/>
      <c r="S17" s="96"/>
      <c r="T17" s="97"/>
      <c r="U17" s="98"/>
      <c r="V17" s="98"/>
      <c r="W17" s="98"/>
      <c r="X17" s="98"/>
      <c r="Y17" s="98"/>
      <c r="Z17" s="24"/>
    </row>
    <row r="18" spans="1:26" x14ac:dyDescent="0.2">
      <c r="A18" s="87" t="s">
        <v>64</v>
      </c>
      <c r="B18" s="88"/>
      <c r="C18" s="89"/>
      <c r="D18" s="90" t="s">
        <v>77</v>
      </c>
      <c r="E18" s="90" t="s">
        <v>78</v>
      </c>
      <c r="F18" s="91" t="s">
        <v>84</v>
      </c>
      <c r="G18" s="92"/>
      <c r="H18" s="90"/>
      <c r="I18" s="91" t="s">
        <v>164</v>
      </c>
      <c r="J18" s="93"/>
      <c r="K18" s="91" t="s">
        <v>79</v>
      </c>
      <c r="L18" s="93"/>
      <c r="M18" s="92"/>
      <c r="N18" s="90" t="s">
        <v>76</v>
      </c>
      <c r="O18" s="94"/>
      <c r="P18" s="88"/>
      <c r="Q18" s="88"/>
      <c r="R18" s="95"/>
      <c r="S18" s="96"/>
      <c r="T18" s="97"/>
      <c r="U18" s="98"/>
      <c r="V18" s="98"/>
      <c r="W18" s="98"/>
      <c r="X18" s="98"/>
      <c r="Y18" s="98"/>
      <c r="Z18" s="24"/>
    </row>
    <row r="19" spans="1:26" x14ac:dyDescent="0.2">
      <c r="A19" s="87" t="s">
        <v>85</v>
      </c>
      <c r="B19" s="88"/>
      <c r="C19" s="89"/>
      <c r="D19" s="90" t="s">
        <v>77</v>
      </c>
      <c r="E19" s="90" t="s">
        <v>78</v>
      </c>
      <c r="F19" s="91" t="s">
        <v>84</v>
      </c>
      <c r="G19" s="92"/>
      <c r="H19" s="90"/>
      <c r="I19" s="91" t="s">
        <v>164</v>
      </c>
      <c r="J19" s="93"/>
      <c r="K19" s="91" t="s">
        <v>82</v>
      </c>
      <c r="L19" s="93"/>
      <c r="M19" s="92"/>
      <c r="N19" s="90" t="s">
        <v>76</v>
      </c>
      <c r="O19" s="94"/>
      <c r="P19" s="88"/>
      <c r="Q19" s="88"/>
      <c r="R19" s="95"/>
      <c r="S19" s="96"/>
      <c r="T19" s="97"/>
      <c r="U19" s="98"/>
      <c r="V19" s="98"/>
      <c r="W19" s="98"/>
      <c r="X19" s="98"/>
      <c r="Y19" s="98"/>
      <c r="Z19" s="24"/>
    </row>
    <row r="20" spans="1:26" x14ac:dyDescent="0.2">
      <c r="A20" s="87" t="s">
        <v>65</v>
      </c>
      <c r="B20" s="88"/>
      <c r="C20" s="89"/>
      <c r="D20" s="90" t="s">
        <v>77</v>
      </c>
      <c r="E20" s="90" t="s">
        <v>78</v>
      </c>
      <c r="F20" s="91" t="s">
        <v>84</v>
      </c>
      <c r="G20" s="92"/>
      <c r="H20" s="90"/>
      <c r="I20" s="91" t="s">
        <v>164</v>
      </c>
      <c r="J20" s="93"/>
      <c r="K20" s="91" t="s">
        <v>82</v>
      </c>
      <c r="L20" s="93"/>
      <c r="M20" s="92"/>
      <c r="N20" s="90" t="s">
        <v>76</v>
      </c>
      <c r="O20" s="94"/>
      <c r="P20" s="88"/>
      <c r="Q20" s="88"/>
      <c r="R20" s="95"/>
      <c r="S20" s="96"/>
      <c r="T20" s="97"/>
      <c r="U20" s="98"/>
      <c r="V20" s="98"/>
      <c r="W20" s="98"/>
      <c r="X20" s="98"/>
      <c r="Y20" s="98"/>
      <c r="Z20" s="24"/>
    </row>
    <row r="21" spans="1:26" x14ac:dyDescent="0.2">
      <c r="A21" s="87" t="s">
        <v>86</v>
      </c>
      <c r="B21" s="88"/>
      <c r="C21" s="89"/>
      <c r="D21" s="90" t="s">
        <v>77</v>
      </c>
      <c r="E21" s="90" t="s">
        <v>78</v>
      </c>
      <c r="F21" s="91" t="s">
        <v>84</v>
      </c>
      <c r="G21" s="92"/>
      <c r="H21" s="90" t="s">
        <v>82</v>
      </c>
      <c r="I21" s="91" t="s">
        <v>164</v>
      </c>
      <c r="J21" s="93"/>
      <c r="K21" s="91" t="s">
        <v>82</v>
      </c>
      <c r="L21" s="93"/>
      <c r="M21" s="92"/>
      <c r="N21" s="90" t="s">
        <v>76</v>
      </c>
      <c r="O21" s="94"/>
      <c r="P21" s="88"/>
      <c r="Q21" s="88"/>
      <c r="R21" s="95"/>
      <c r="S21" s="96"/>
      <c r="T21" s="97"/>
      <c r="U21" s="98"/>
      <c r="V21" s="98"/>
      <c r="W21" s="98"/>
      <c r="X21" s="98"/>
      <c r="Y21" s="98"/>
      <c r="Z21" s="24"/>
    </row>
    <row r="22" spans="1:26" x14ac:dyDescent="0.2">
      <c r="A22" s="87" t="s">
        <v>265</v>
      </c>
      <c r="B22" s="88"/>
      <c r="C22" s="89"/>
      <c r="D22" s="90" t="s">
        <v>77</v>
      </c>
      <c r="E22" s="90" t="s">
        <v>78</v>
      </c>
      <c r="F22" s="91" t="s">
        <v>167</v>
      </c>
      <c r="G22" s="89"/>
      <c r="H22" s="90"/>
      <c r="I22" s="91" t="s">
        <v>164</v>
      </c>
      <c r="J22" s="93"/>
      <c r="K22" s="91" t="s">
        <v>82</v>
      </c>
      <c r="L22" s="93"/>
      <c r="M22" s="92"/>
      <c r="N22" s="90" t="s">
        <v>76</v>
      </c>
      <c r="O22" s="94"/>
      <c r="P22" s="88"/>
      <c r="Q22" s="88"/>
      <c r="R22" s="95"/>
      <c r="S22" s="96"/>
      <c r="T22" s="97"/>
      <c r="U22" s="98"/>
      <c r="V22" s="98"/>
      <c r="W22" s="98"/>
      <c r="X22" s="98"/>
      <c r="Y22" s="98"/>
      <c r="Z22" s="24"/>
    </row>
    <row r="23" spans="1:26" ht="13.5" customHeight="1" x14ac:dyDescent="0.2">
      <c r="A23" s="87" t="s">
        <v>266</v>
      </c>
      <c r="B23" s="88"/>
      <c r="C23" s="89"/>
      <c r="D23" s="90" t="s">
        <v>77</v>
      </c>
      <c r="E23" s="90" t="s">
        <v>78</v>
      </c>
      <c r="F23" s="91" t="s">
        <v>167</v>
      </c>
      <c r="G23" s="89"/>
      <c r="H23" s="90"/>
      <c r="I23" s="91" t="s">
        <v>164</v>
      </c>
      <c r="J23" s="93"/>
      <c r="K23" s="91" t="s">
        <v>82</v>
      </c>
      <c r="L23" s="93"/>
      <c r="M23" s="92"/>
      <c r="N23" s="90" t="s">
        <v>76</v>
      </c>
      <c r="O23" s="94"/>
      <c r="P23" s="88"/>
      <c r="Q23" s="88"/>
      <c r="R23" s="95"/>
      <c r="S23" s="96"/>
      <c r="T23" s="97"/>
      <c r="U23" s="98"/>
      <c r="V23" s="98"/>
      <c r="W23" s="98"/>
      <c r="X23" s="98"/>
      <c r="Y23" s="98"/>
      <c r="Z23" s="24"/>
    </row>
    <row r="24" spans="1:26" x14ac:dyDescent="0.2">
      <c r="A24" s="87"/>
      <c r="B24" s="88"/>
      <c r="C24" s="89"/>
      <c r="D24" s="90"/>
      <c r="E24" s="90"/>
      <c r="F24" s="87"/>
      <c r="G24" s="89"/>
      <c r="H24" s="90"/>
      <c r="I24" s="87"/>
      <c r="J24" s="88"/>
      <c r="K24" s="91"/>
      <c r="L24" s="93"/>
      <c r="M24" s="92"/>
      <c r="N24" s="90"/>
      <c r="O24" s="94"/>
      <c r="P24" s="88"/>
      <c r="Q24" s="88"/>
      <c r="R24" s="95"/>
      <c r="S24" s="96"/>
      <c r="T24" s="97"/>
      <c r="U24" s="98"/>
      <c r="V24" s="98"/>
      <c r="W24" s="98"/>
      <c r="X24" s="98"/>
      <c r="Y24" s="98"/>
      <c r="Z24" s="24"/>
    </row>
    <row r="25" spans="1:26" x14ac:dyDescent="0.2">
      <c r="A25" s="87"/>
      <c r="B25" s="88"/>
      <c r="C25" s="89"/>
      <c r="D25" s="90"/>
      <c r="E25" s="90"/>
      <c r="F25" s="87"/>
      <c r="G25" s="89"/>
      <c r="H25" s="90"/>
      <c r="I25" s="87"/>
      <c r="J25" s="88"/>
      <c r="K25" s="87"/>
      <c r="L25" s="88"/>
      <c r="M25" s="89"/>
      <c r="N25" s="90"/>
      <c r="O25" s="94"/>
      <c r="P25" s="88"/>
      <c r="Q25" s="88"/>
      <c r="R25" s="95"/>
      <c r="S25" s="96"/>
      <c r="T25" s="97"/>
      <c r="U25" s="98"/>
      <c r="V25" s="98"/>
      <c r="W25" s="98"/>
      <c r="X25" s="98"/>
      <c r="Y25" s="98"/>
      <c r="Z25" s="24"/>
    </row>
    <row r="26" spans="1:26" x14ac:dyDescent="0.2">
      <c r="A26" s="70" t="s">
        <v>60</v>
      </c>
      <c r="B26" s="71"/>
      <c r="C26" s="72" t="s">
        <v>341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4"/>
    </row>
    <row r="27" spans="1:26" x14ac:dyDescent="0.2">
      <c r="A27" s="43" t="s">
        <v>67</v>
      </c>
      <c r="B27" s="44"/>
      <c r="C27" s="49"/>
      <c r="D27" s="75" t="s">
        <v>68</v>
      </c>
      <c r="E27" s="75" t="s">
        <v>69</v>
      </c>
      <c r="F27" s="14" t="s">
        <v>70</v>
      </c>
      <c r="G27" s="16"/>
      <c r="H27" s="75" t="s">
        <v>71</v>
      </c>
      <c r="I27" s="76" t="s">
        <v>72</v>
      </c>
      <c r="J27" s="77"/>
      <c r="K27" s="14" t="s">
        <v>73</v>
      </c>
      <c r="L27" s="15"/>
      <c r="M27" s="16"/>
      <c r="N27" s="75" t="s">
        <v>74</v>
      </c>
      <c r="O27" s="76" t="s">
        <v>75</v>
      </c>
      <c r="P27" s="78"/>
      <c r="Q27" s="78"/>
      <c r="R27" s="77"/>
      <c r="S27" s="79"/>
      <c r="T27" s="77" t="s">
        <v>61</v>
      </c>
      <c r="U27" s="77"/>
      <c r="V27" s="77"/>
      <c r="W27" s="77"/>
      <c r="X27" s="77"/>
      <c r="Y27" s="77"/>
      <c r="Z27" s="79"/>
    </row>
    <row r="28" spans="1:26" x14ac:dyDescent="0.2">
      <c r="A28" s="80" t="s">
        <v>352</v>
      </c>
      <c r="B28" s="81"/>
      <c r="C28" s="81"/>
      <c r="D28" s="82"/>
      <c r="E28" s="82"/>
      <c r="F28" s="81"/>
      <c r="G28" s="81"/>
      <c r="H28" s="82"/>
      <c r="I28" s="81"/>
      <c r="J28" s="81"/>
      <c r="K28" s="81"/>
      <c r="L28" s="81"/>
      <c r="M28" s="81"/>
      <c r="N28" s="82"/>
      <c r="O28" s="83"/>
      <c r="P28" s="81"/>
      <c r="Q28" s="81"/>
      <c r="R28" s="84"/>
      <c r="S28" s="85"/>
      <c r="T28" s="85"/>
      <c r="U28" s="85"/>
      <c r="V28" s="85"/>
      <c r="W28" s="85"/>
      <c r="X28" s="85"/>
      <c r="Y28" s="85"/>
      <c r="Z28" s="86"/>
    </row>
    <row r="29" spans="1:26" ht="13.5" customHeight="1" x14ac:dyDescent="0.2">
      <c r="A29" s="87" t="s">
        <v>344</v>
      </c>
      <c r="B29" s="88"/>
      <c r="C29" s="89"/>
      <c r="D29" s="90" t="s">
        <v>77</v>
      </c>
      <c r="E29" s="90" t="s">
        <v>78</v>
      </c>
      <c r="F29" s="91" t="s">
        <v>166</v>
      </c>
      <c r="G29" s="92"/>
      <c r="H29" s="90" t="s">
        <v>79</v>
      </c>
      <c r="I29" s="91" t="s">
        <v>80</v>
      </c>
      <c r="J29" s="93"/>
      <c r="K29" s="91" t="s">
        <v>79</v>
      </c>
      <c r="L29" s="93"/>
      <c r="M29" s="92"/>
      <c r="N29" s="90" t="s">
        <v>76</v>
      </c>
      <c r="O29" s="94" t="s">
        <v>351</v>
      </c>
      <c r="P29" s="88"/>
      <c r="Q29" s="88"/>
      <c r="R29" s="95"/>
      <c r="S29" s="96"/>
      <c r="T29" s="97"/>
      <c r="U29" s="98"/>
      <c r="V29" s="98"/>
      <c r="W29" s="98"/>
      <c r="X29" s="98"/>
      <c r="Y29" s="98"/>
      <c r="Z29" s="24"/>
    </row>
    <row r="30" spans="1:26" x14ac:dyDescent="0.2">
      <c r="A30" s="87" t="s">
        <v>140</v>
      </c>
      <c r="B30" s="88"/>
      <c r="C30" s="89"/>
      <c r="D30" s="90" t="s">
        <v>76</v>
      </c>
      <c r="E30" s="90" t="s">
        <v>76</v>
      </c>
      <c r="F30" s="91" t="s">
        <v>165</v>
      </c>
      <c r="G30" s="92"/>
      <c r="H30" s="90"/>
      <c r="I30" s="91" t="s">
        <v>162</v>
      </c>
      <c r="J30" s="93"/>
      <c r="K30" s="91" t="s">
        <v>5</v>
      </c>
      <c r="L30" s="93"/>
      <c r="M30" s="92"/>
      <c r="N30" s="90" t="s">
        <v>76</v>
      </c>
      <c r="O30" s="94"/>
      <c r="P30" s="88"/>
      <c r="Q30" s="88"/>
      <c r="R30" s="95"/>
      <c r="S30" s="96"/>
      <c r="T30" s="97"/>
      <c r="U30" s="98"/>
      <c r="V30" s="98"/>
      <c r="W30" s="98"/>
      <c r="X30" s="98"/>
      <c r="Y30" s="98"/>
      <c r="Z30" s="24"/>
    </row>
    <row r="31" spans="1:26" x14ac:dyDescent="0.2">
      <c r="A31" s="87" t="s">
        <v>10</v>
      </c>
      <c r="B31" s="88"/>
      <c r="C31" s="88"/>
      <c r="D31" s="90" t="s">
        <v>76</v>
      </c>
      <c r="E31" s="90" t="s">
        <v>174</v>
      </c>
      <c r="F31" s="91" t="s">
        <v>165</v>
      </c>
      <c r="G31" s="92"/>
      <c r="H31" s="90"/>
      <c r="I31" s="91" t="s">
        <v>162</v>
      </c>
      <c r="J31" s="93"/>
      <c r="K31" s="91" t="s">
        <v>360</v>
      </c>
      <c r="L31" s="93"/>
      <c r="M31" s="92"/>
      <c r="N31" s="90" t="s">
        <v>346</v>
      </c>
      <c r="O31" s="94"/>
      <c r="P31" s="88"/>
      <c r="Q31" s="88"/>
      <c r="R31" s="95"/>
      <c r="S31" s="96"/>
      <c r="T31" s="97" t="s">
        <v>359</v>
      </c>
      <c r="U31" s="98"/>
      <c r="V31" s="98"/>
      <c r="W31" s="98"/>
      <c r="X31" s="98"/>
      <c r="Y31" s="98"/>
      <c r="Z31" s="24"/>
    </row>
    <row r="32" spans="1:26" x14ac:dyDescent="0.2">
      <c r="A32" s="87" t="s">
        <v>357</v>
      </c>
      <c r="B32" s="88"/>
      <c r="C32" s="88"/>
      <c r="D32" s="90" t="s">
        <v>76</v>
      </c>
      <c r="E32" s="90" t="s">
        <v>174</v>
      </c>
      <c r="F32" s="91" t="s">
        <v>348</v>
      </c>
      <c r="G32" s="92"/>
      <c r="H32" s="90"/>
      <c r="I32" s="345" t="s">
        <v>347</v>
      </c>
      <c r="J32" s="346"/>
      <c r="K32" s="247"/>
      <c r="L32" s="246"/>
      <c r="M32" s="245"/>
      <c r="N32" s="90" t="s">
        <v>76</v>
      </c>
      <c r="O32" s="94"/>
      <c r="P32" s="88"/>
      <c r="Q32" s="88"/>
      <c r="R32" s="95"/>
      <c r="S32" s="96"/>
      <c r="T32" s="97" t="s">
        <v>358</v>
      </c>
      <c r="U32" s="98"/>
      <c r="V32" s="98"/>
      <c r="W32" s="98"/>
      <c r="X32" s="98"/>
      <c r="Y32" s="98"/>
      <c r="Z32" s="24"/>
    </row>
    <row r="33" spans="1:26" ht="13.5" customHeight="1" x14ac:dyDescent="0.2">
      <c r="A33" s="87" t="s">
        <v>349</v>
      </c>
      <c r="B33" s="88"/>
      <c r="C33" s="89"/>
      <c r="D33" s="90" t="s">
        <v>77</v>
      </c>
      <c r="E33" s="90" t="s">
        <v>174</v>
      </c>
      <c r="F33" s="91" t="s">
        <v>166</v>
      </c>
      <c r="G33" s="92"/>
      <c r="H33" s="90" t="s">
        <v>79</v>
      </c>
      <c r="I33" s="91" t="s">
        <v>80</v>
      </c>
      <c r="J33" s="93"/>
      <c r="K33" s="91" t="s">
        <v>79</v>
      </c>
      <c r="L33" s="93"/>
      <c r="M33" s="92"/>
      <c r="N33" s="90" t="s">
        <v>76</v>
      </c>
      <c r="O33" s="94" t="s">
        <v>350</v>
      </c>
      <c r="P33" s="88"/>
      <c r="Q33" s="88"/>
      <c r="R33" s="95"/>
      <c r="S33" s="96"/>
      <c r="T33" s="97" t="s">
        <v>358</v>
      </c>
      <c r="U33" s="98"/>
      <c r="V33" s="98"/>
      <c r="W33" s="98"/>
      <c r="X33" s="98"/>
      <c r="Y33" s="98"/>
      <c r="Z33" s="24"/>
    </row>
    <row r="34" spans="1:26" ht="13.5" customHeight="1" x14ac:dyDescent="0.2">
      <c r="A34" s="87" t="s">
        <v>343</v>
      </c>
      <c r="B34" s="88"/>
      <c r="C34" s="89"/>
      <c r="D34" s="90" t="s">
        <v>77</v>
      </c>
      <c r="E34" s="90" t="s">
        <v>78</v>
      </c>
      <c r="F34" s="91" t="s">
        <v>166</v>
      </c>
      <c r="G34" s="92"/>
      <c r="H34" s="90" t="s">
        <v>79</v>
      </c>
      <c r="I34" s="91" t="s">
        <v>80</v>
      </c>
      <c r="J34" s="93"/>
      <c r="K34" s="91" t="s">
        <v>79</v>
      </c>
      <c r="L34" s="93"/>
      <c r="M34" s="92"/>
      <c r="N34" s="90" t="s">
        <v>76</v>
      </c>
      <c r="O34" s="94" t="s">
        <v>342</v>
      </c>
      <c r="P34" s="88"/>
      <c r="Q34" s="88"/>
      <c r="R34" s="95"/>
      <c r="S34" s="96"/>
      <c r="T34" s="97"/>
      <c r="U34" s="98"/>
      <c r="V34" s="98"/>
      <c r="W34" s="98"/>
      <c r="X34" s="98"/>
      <c r="Y34" s="98"/>
      <c r="Z34" s="24"/>
    </row>
    <row r="35" spans="1:26" ht="13.5" customHeight="1" x14ac:dyDescent="0.2">
      <c r="A35" s="87"/>
      <c r="B35" s="88"/>
      <c r="C35" s="89"/>
      <c r="D35" s="90"/>
      <c r="E35" s="90"/>
      <c r="F35" s="87"/>
      <c r="G35" s="89"/>
      <c r="H35" s="90"/>
      <c r="I35" s="87"/>
      <c r="J35" s="88"/>
      <c r="K35" s="91"/>
      <c r="L35" s="93"/>
      <c r="M35" s="92"/>
      <c r="N35" s="90"/>
      <c r="O35" s="94"/>
      <c r="P35" s="88"/>
      <c r="Q35" s="88"/>
      <c r="R35" s="95"/>
      <c r="S35" s="96"/>
      <c r="T35" s="97"/>
      <c r="U35" s="98"/>
      <c r="V35" s="98"/>
      <c r="W35" s="98"/>
      <c r="X35" s="98"/>
      <c r="Y35" s="98"/>
      <c r="Z35" s="24"/>
    </row>
    <row r="36" spans="1:26" x14ac:dyDescent="0.2">
      <c r="A36" s="80" t="s">
        <v>353</v>
      </c>
      <c r="B36" s="81"/>
      <c r="C36" s="81"/>
      <c r="D36" s="82"/>
      <c r="E36" s="82"/>
      <c r="F36" s="81"/>
      <c r="G36" s="81"/>
      <c r="H36" s="82"/>
      <c r="I36" s="81"/>
      <c r="J36" s="81"/>
      <c r="K36" s="81"/>
      <c r="L36" s="81"/>
      <c r="M36" s="81"/>
      <c r="N36" s="82"/>
      <c r="O36" s="83"/>
      <c r="P36" s="81"/>
      <c r="Q36" s="81"/>
      <c r="R36" s="84"/>
      <c r="S36" s="85"/>
      <c r="T36" s="85"/>
      <c r="U36" s="85"/>
      <c r="V36" s="85"/>
      <c r="W36" s="85"/>
      <c r="X36" s="85"/>
      <c r="Y36" s="85"/>
      <c r="Z36" s="86"/>
    </row>
    <row r="37" spans="1:26" ht="13.5" customHeight="1" x14ac:dyDescent="0.2">
      <c r="A37" s="87" t="s">
        <v>116</v>
      </c>
      <c r="B37" s="88"/>
      <c r="C37" s="89"/>
      <c r="D37" s="90" t="s">
        <v>77</v>
      </c>
      <c r="E37" s="90" t="s">
        <v>78</v>
      </c>
      <c r="F37" s="91" t="s">
        <v>83</v>
      </c>
      <c r="G37" s="92"/>
      <c r="H37" s="90"/>
      <c r="I37" s="91" t="s">
        <v>164</v>
      </c>
      <c r="J37" s="93"/>
      <c r="K37" s="91" t="s">
        <v>81</v>
      </c>
      <c r="L37" s="93"/>
      <c r="M37" s="92"/>
      <c r="N37" s="90" t="s">
        <v>76</v>
      </c>
      <c r="O37" s="94"/>
      <c r="P37" s="88"/>
      <c r="Q37" s="88"/>
      <c r="R37" s="95"/>
      <c r="S37" s="96"/>
      <c r="T37" s="97"/>
      <c r="U37" s="98"/>
      <c r="V37" s="98"/>
      <c r="W37" s="98"/>
      <c r="X37" s="98"/>
      <c r="Y37" s="98"/>
      <c r="Z37" s="24"/>
    </row>
    <row r="38" spans="1:26" x14ac:dyDescent="0.2">
      <c r="A38" s="87" t="s">
        <v>354</v>
      </c>
      <c r="B38" s="88"/>
      <c r="C38" s="89"/>
      <c r="D38" s="90" t="s">
        <v>77</v>
      </c>
      <c r="E38" s="90" t="s">
        <v>78</v>
      </c>
      <c r="F38" s="91" t="s">
        <v>165</v>
      </c>
      <c r="G38" s="92"/>
      <c r="H38" s="90"/>
      <c r="I38" s="91" t="s">
        <v>164</v>
      </c>
      <c r="J38" s="93"/>
      <c r="K38" s="91" t="s">
        <v>79</v>
      </c>
      <c r="L38" s="93"/>
      <c r="M38" s="92"/>
      <c r="N38" s="90" t="s">
        <v>76</v>
      </c>
      <c r="O38" s="94"/>
      <c r="P38" s="88"/>
      <c r="Q38" s="88"/>
      <c r="R38" s="95"/>
      <c r="S38" s="96"/>
      <c r="T38" s="97"/>
      <c r="U38" s="98"/>
      <c r="V38" s="98"/>
      <c r="W38" s="98"/>
      <c r="X38" s="98"/>
      <c r="Y38" s="98"/>
      <c r="Z38" s="24"/>
    </row>
    <row r="39" spans="1:26" x14ac:dyDescent="0.2">
      <c r="A39" s="87" t="s">
        <v>64</v>
      </c>
      <c r="B39" s="88"/>
      <c r="C39" s="89"/>
      <c r="D39" s="90" t="s">
        <v>77</v>
      </c>
      <c r="E39" s="90" t="s">
        <v>78</v>
      </c>
      <c r="F39" s="91" t="s">
        <v>84</v>
      </c>
      <c r="G39" s="92"/>
      <c r="H39" s="90"/>
      <c r="I39" s="91" t="s">
        <v>164</v>
      </c>
      <c r="J39" s="93"/>
      <c r="K39" s="91" t="s">
        <v>79</v>
      </c>
      <c r="L39" s="93"/>
      <c r="M39" s="92"/>
      <c r="N39" s="90" t="s">
        <v>76</v>
      </c>
      <c r="O39" s="94"/>
      <c r="P39" s="88"/>
      <c r="Q39" s="88"/>
      <c r="R39" s="95"/>
      <c r="S39" s="96"/>
      <c r="T39" s="97"/>
      <c r="U39" s="98"/>
      <c r="V39" s="98"/>
      <c r="W39" s="98"/>
      <c r="X39" s="98"/>
      <c r="Y39" s="98"/>
      <c r="Z39" s="24"/>
    </row>
    <row r="40" spans="1:26" x14ac:dyDescent="0.2">
      <c r="A40" s="87" t="s">
        <v>85</v>
      </c>
      <c r="B40" s="88"/>
      <c r="C40" s="89"/>
      <c r="D40" s="90" t="s">
        <v>77</v>
      </c>
      <c r="E40" s="90" t="s">
        <v>78</v>
      </c>
      <c r="F40" s="91" t="s">
        <v>84</v>
      </c>
      <c r="G40" s="92"/>
      <c r="H40" s="90"/>
      <c r="I40" s="91" t="s">
        <v>164</v>
      </c>
      <c r="J40" s="93"/>
      <c r="K40" s="91" t="s">
        <v>82</v>
      </c>
      <c r="L40" s="93"/>
      <c r="M40" s="92"/>
      <c r="N40" s="90" t="s">
        <v>76</v>
      </c>
      <c r="O40" s="94"/>
      <c r="P40" s="88"/>
      <c r="Q40" s="88"/>
      <c r="R40" s="95"/>
      <c r="S40" s="96"/>
      <c r="T40" s="97"/>
      <c r="U40" s="98"/>
      <c r="V40" s="98"/>
      <c r="W40" s="98"/>
      <c r="X40" s="98"/>
      <c r="Y40" s="98"/>
      <c r="Z40" s="24"/>
    </row>
    <row r="41" spans="1:26" x14ac:dyDescent="0.2">
      <c r="A41" s="87" t="s">
        <v>65</v>
      </c>
      <c r="B41" s="88"/>
      <c r="C41" s="89"/>
      <c r="D41" s="90" t="s">
        <v>77</v>
      </c>
      <c r="E41" s="90" t="s">
        <v>78</v>
      </c>
      <c r="F41" s="91" t="s">
        <v>84</v>
      </c>
      <c r="G41" s="92"/>
      <c r="H41" s="90"/>
      <c r="I41" s="91" t="s">
        <v>164</v>
      </c>
      <c r="J41" s="93"/>
      <c r="K41" s="91" t="s">
        <v>82</v>
      </c>
      <c r="L41" s="93"/>
      <c r="M41" s="92"/>
      <c r="N41" s="90" t="s">
        <v>76</v>
      </c>
      <c r="O41" s="94"/>
      <c r="P41" s="88"/>
      <c r="Q41" s="88"/>
      <c r="R41" s="95"/>
      <c r="S41" s="96"/>
      <c r="T41" s="97"/>
      <c r="U41" s="98"/>
      <c r="V41" s="98"/>
      <c r="W41" s="98"/>
      <c r="X41" s="98"/>
      <c r="Y41" s="98"/>
      <c r="Z41" s="24"/>
    </row>
    <row r="42" spans="1:26" x14ac:dyDescent="0.2">
      <c r="A42" s="87" t="s">
        <v>86</v>
      </c>
      <c r="B42" s="88"/>
      <c r="C42" s="89"/>
      <c r="D42" s="90" t="s">
        <v>77</v>
      </c>
      <c r="E42" s="90" t="s">
        <v>78</v>
      </c>
      <c r="F42" s="91" t="s">
        <v>84</v>
      </c>
      <c r="G42" s="92"/>
      <c r="H42" s="90" t="s">
        <v>82</v>
      </c>
      <c r="I42" s="91" t="s">
        <v>164</v>
      </c>
      <c r="J42" s="93"/>
      <c r="K42" s="91" t="s">
        <v>82</v>
      </c>
      <c r="L42" s="93"/>
      <c r="M42" s="92"/>
      <c r="N42" s="90" t="s">
        <v>76</v>
      </c>
      <c r="O42" s="94"/>
      <c r="P42" s="88"/>
      <c r="Q42" s="88"/>
      <c r="R42" s="95"/>
      <c r="S42" s="96"/>
      <c r="T42" s="97"/>
      <c r="U42" s="98"/>
      <c r="V42" s="98"/>
      <c r="W42" s="98"/>
      <c r="X42" s="98"/>
      <c r="Y42" s="98"/>
      <c r="Z42" s="24"/>
    </row>
    <row r="43" spans="1:26" x14ac:dyDescent="0.2">
      <c r="A43" s="87" t="s">
        <v>265</v>
      </c>
      <c r="B43" s="88"/>
      <c r="C43" s="89"/>
      <c r="D43" s="90" t="s">
        <v>77</v>
      </c>
      <c r="E43" s="90" t="s">
        <v>78</v>
      </c>
      <c r="F43" s="91" t="s">
        <v>167</v>
      </c>
      <c r="G43" s="89"/>
      <c r="H43" s="90"/>
      <c r="I43" s="91" t="s">
        <v>164</v>
      </c>
      <c r="J43" s="93"/>
      <c r="K43" s="91" t="s">
        <v>82</v>
      </c>
      <c r="L43" s="93"/>
      <c r="M43" s="92"/>
      <c r="N43" s="90" t="s">
        <v>76</v>
      </c>
      <c r="O43" s="94"/>
      <c r="P43" s="88"/>
      <c r="Q43" s="88"/>
      <c r="R43" s="95"/>
      <c r="S43" s="96"/>
      <c r="T43" s="97"/>
      <c r="U43" s="98"/>
      <c r="V43" s="98"/>
      <c r="W43" s="98"/>
      <c r="X43" s="98"/>
      <c r="Y43" s="98"/>
      <c r="Z43" s="24"/>
    </row>
    <row r="44" spans="1:26" ht="13.5" customHeight="1" x14ac:dyDescent="0.2">
      <c r="A44" s="87" t="s">
        <v>266</v>
      </c>
      <c r="B44" s="88"/>
      <c r="C44" s="89"/>
      <c r="D44" s="90" t="s">
        <v>77</v>
      </c>
      <c r="E44" s="90" t="s">
        <v>78</v>
      </c>
      <c r="F44" s="91" t="s">
        <v>167</v>
      </c>
      <c r="G44" s="89"/>
      <c r="H44" s="90"/>
      <c r="I44" s="91" t="s">
        <v>164</v>
      </c>
      <c r="J44" s="93"/>
      <c r="K44" s="91" t="s">
        <v>82</v>
      </c>
      <c r="L44" s="93"/>
      <c r="M44" s="92"/>
      <c r="N44" s="90" t="s">
        <v>76</v>
      </c>
      <c r="O44" s="94"/>
      <c r="P44" s="88"/>
      <c r="Q44" s="88"/>
      <c r="R44" s="95"/>
      <c r="S44" s="96"/>
      <c r="T44" s="97"/>
      <c r="U44" s="98"/>
      <c r="V44" s="98"/>
      <c r="W44" s="98"/>
      <c r="X44" s="98"/>
      <c r="Y44" s="98"/>
      <c r="Z44" s="24"/>
    </row>
    <row r="45" spans="1:26" x14ac:dyDescent="0.2">
      <c r="A45" s="87"/>
      <c r="B45" s="88"/>
      <c r="C45" s="89"/>
      <c r="D45" s="90"/>
      <c r="E45" s="90"/>
      <c r="F45" s="87"/>
      <c r="G45" s="89"/>
      <c r="H45" s="90"/>
      <c r="I45" s="87"/>
      <c r="J45" s="88"/>
      <c r="K45" s="87"/>
      <c r="L45" s="88"/>
      <c r="M45" s="89"/>
      <c r="N45" s="90"/>
      <c r="O45" s="94"/>
      <c r="P45" s="88"/>
      <c r="Q45" s="88"/>
      <c r="R45" s="95"/>
      <c r="S45" s="96"/>
      <c r="T45" s="97"/>
      <c r="U45" s="98"/>
      <c r="V45" s="98"/>
      <c r="W45" s="98"/>
      <c r="X45" s="98"/>
      <c r="Y45" s="98"/>
      <c r="Z45" s="24"/>
    </row>
    <row r="46" spans="1:26" x14ac:dyDescent="0.2">
      <c r="A46" s="80" t="s">
        <v>356</v>
      </c>
      <c r="B46" s="81"/>
      <c r="C46" s="81"/>
      <c r="D46" s="82"/>
      <c r="E46" s="82"/>
      <c r="F46" s="81"/>
      <c r="G46" s="81"/>
      <c r="H46" s="82"/>
      <c r="I46" s="81"/>
      <c r="J46" s="81"/>
      <c r="K46" s="81"/>
      <c r="L46" s="81"/>
      <c r="M46" s="81"/>
      <c r="N46" s="82"/>
      <c r="O46" s="83"/>
      <c r="P46" s="81"/>
      <c r="Q46" s="81"/>
      <c r="R46" s="84"/>
      <c r="S46" s="85"/>
      <c r="T46" s="85"/>
      <c r="U46" s="85"/>
      <c r="V46" s="85"/>
      <c r="W46" s="85"/>
      <c r="X46" s="85"/>
      <c r="Y46" s="85"/>
      <c r="Z46" s="86"/>
    </row>
    <row r="47" spans="1:26" ht="13.5" customHeight="1" x14ac:dyDescent="0.2">
      <c r="A47" s="87" t="s">
        <v>152</v>
      </c>
      <c r="B47" s="88"/>
      <c r="C47" s="89"/>
      <c r="D47" s="90" t="s">
        <v>76</v>
      </c>
      <c r="E47" s="90" t="s">
        <v>174</v>
      </c>
      <c r="F47" s="91" t="s">
        <v>165</v>
      </c>
      <c r="G47" s="92"/>
      <c r="H47" s="90"/>
      <c r="I47" s="91" t="s">
        <v>162</v>
      </c>
      <c r="J47" s="93"/>
      <c r="K47" s="91" t="s">
        <v>81</v>
      </c>
      <c r="L47" s="93"/>
      <c r="M47" s="92"/>
      <c r="N47" s="90" t="s">
        <v>174</v>
      </c>
      <c r="O47" s="94"/>
      <c r="P47" s="88"/>
      <c r="Q47" s="88"/>
      <c r="R47" s="95"/>
      <c r="S47" s="96"/>
      <c r="T47" s="87" t="s">
        <v>362</v>
      </c>
      <c r="U47" s="98"/>
      <c r="V47" s="98"/>
      <c r="W47" s="98"/>
      <c r="X47" s="98"/>
      <c r="Y47" s="98"/>
      <c r="Z47" s="24"/>
    </row>
    <row r="48" spans="1:26" x14ac:dyDescent="0.2">
      <c r="A48" s="87" t="s">
        <v>168</v>
      </c>
      <c r="B48" s="88"/>
      <c r="C48" s="89"/>
      <c r="D48" s="90" t="s">
        <v>77</v>
      </c>
      <c r="E48" s="90" t="s">
        <v>174</v>
      </c>
      <c r="F48" s="91" t="s">
        <v>96</v>
      </c>
      <c r="G48" s="92"/>
      <c r="H48" s="90" t="s">
        <v>79</v>
      </c>
      <c r="I48" s="91" t="s">
        <v>169</v>
      </c>
      <c r="J48" s="93"/>
      <c r="K48" s="91" t="s">
        <v>79</v>
      </c>
      <c r="L48" s="93"/>
      <c r="M48" s="92"/>
      <c r="N48" s="90" t="s">
        <v>174</v>
      </c>
      <c r="O48" s="94" t="s">
        <v>483</v>
      </c>
      <c r="P48" s="88"/>
      <c r="Q48" s="88"/>
      <c r="R48" s="95"/>
      <c r="S48" s="96"/>
      <c r="T48" s="97"/>
      <c r="U48" s="98"/>
      <c r="V48" s="98"/>
      <c r="W48" s="98"/>
      <c r="X48" s="98"/>
      <c r="Y48" s="98"/>
      <c r="Z48" s="24"/>
    </row>
    <row r="49" spans="1:26" x14ac:dyDescent="0.2">
      <c r="A49" s="87" t="s">
        <v>29</v>
      </c>
      <c r="B49" s="88"/>
      <c r="C49" s="89"/>
      <c r="D49" s="90" t="s">
        <v>77</v>
      </c>
      <c r="E49" s="90" t="s">
        <v>174</v>
      </c>
      <c r="F49" s="218" t="s">
        <v>167</v>
      </c>
      <c r="G49" s="92"/>
      <c r="H49" s="90"/>
      <c r="I49" s="91" t="s">
        <v>164</v>
      </c>
      <c r="J49" s="93"/>
      <c r="K49" s="91" t="s">
        <v>79</v>
      </c>
      <c r="L49" s="93"/>
      <c r="M49" s="92"/>
      <c r="N49" s="90" t="s">
        <v>174</v>
      </c>
      <c r="O49" s="94"/>
      <c r="P49" s="88"/>
      <c r="Q49" s="88"/>
      <c r="R49" s="95"/>
      <c r="S49" s="96"/>
      <c r="T49" s="97"/>
      <c r="U49" s="98"/>
      <c r="V49" s="98"/>
      <c r="W49" s="98"/>
      <c r="X49" s="98"/>
      <c r="Y49" s="98"/>
      <c r="Z49" s="24"/>
    </row>
    <row r="50" spans="1:26" x14ac:dyDescent="0.2">
      <c r="A50" s="87" t="s">
        <v>30</v>
      </c>
      <c r="B50" s="88"/>
      <c r="C50" s="89"/>
      <c r="D50" s="90" t="s">
        <v>77</v>
      </c>
      <c r="E50" s="90" t="s">
        <v>174</v>
      </c>
      <c r="F50" s="218" t="s">
        <v>167</v>
      </c>
      <c r="G50" s="92"/>
      <c r="H50" s="90"/>
      <c r="I50" s="91" t="s">
        <v>164</v>
      </c>
      <c r="J50" s="93"/>
      <c r="K50" s="91" t="s">
        <v>82</v>
      </c>
      <c r="L50" s="93"/>
      <c r="M50" s="92"/>
      <c r="N50" s="90" t="s">
        <v>174</v>
      </c>
      <c r="O50" s="94"/>
      <c r="P50" s="88"/>
      <c r="Q50" s="88"/>
      <c r="R50" s="95"/>
      <c r="S50" s="96"/>
      <c r="T50" s="97"/>
      <c r="U50" s="98"/>
      <c r="V50" s="98"/>
      <c r="W50" s="98"/>
      <c r="X50" s="98"/>
      <c r="Y50" s="98"/>
      <c r="Z50" s="24"/>
    </row>
    <row r="51" spans="1:26" x14ac:dyDescent="0.2">
      <c r="A51" s="87" t="s">
        <v>12</v>
      </c>
      <c r="B51" s="88"/>
      <c r="C51" s="89"/>
      <c r="D51" s="90" t="s">
        <v>77</v>
      </c>
      <c r="E51" s="90" t="s">
        <v>174</v>
      </c>
      <c r="F51" s="218" t="s">
        <v>167</v>
      </c>
      <c r="G51" s="92"/>
      <c r="H51" s="90"/>
      <c r="I51" s="91" t="s">
        <v>164</v>
      </c>
      <c r="J51" s="93"/>
      <c r="K51" s="91" t="s">
        <v>82</v>
      </c>
      <c r="L51" s="93"/>
      <c r="M51" s="92"/>
      <c r="N51" s="90" t="s">
        <v>174</v>
      </c>
      <c r="O51" s="94"/>
      <c r="P51" s="88"/>
      <c r="Q51" s="88"/>
      <c r="R51" s="95"/>
      <c r="S51" s="96"/>
      <c r="T51" s="97"/>
      <c r="U51" s="98"/>
      <c r="V51" s="98"/>
      <c r="W51" s="98"/>
      <c r="X51" s="98"/>
      <c r="Y51" s="98"/>
      <c r="Z51" s="24"/>
    </row>
    <row r="52" spans="1:26" x14ac:dyDescent="0.2">
      <c r="A52" s="87" t="s">
        <v>31</v>
      </c>
      <c r="B52" s="88"/>
      <c r="C52" s="89"/>
      <c r="D52" s="90" t="s">
        <v>77</v>
      </c>
      <c r="E52" s="90" t="s">
        <v>174</v>
      </c>
      <c r="F52" s="218" t="s">
        <v>167</v>
      </c>
      <c r="G52" s="92"/>
      <c r="H52" s="90"/>
      <c r="I52" s="91" t="s">
        <v>164</v>
      </c>
      <c r="J52" s="93"/>
      <c r="K52" s="91" t="s">
        <v>82</v>
      </c>
      <c r="L52" s="93"/>
      <c r="M52" s="92"/>
      <c r="N52" s="90" t="s">
        <v>174</v>
      </c>
      <c r="O52" s="94"/>
      <c r="P52" s="88"/>
      <c r="Q52" s="88"/>
      <c r="R52" s="95"/>
      <c r="S52" s="96"/>
      <c r="T52" s="97"/>
      <c r="U52" s="98"/>
      <c r="V52" s="98"/>
      <c r="W52" s="98"/>
      <c r="X52" s="98"/>
      <c r="Y52" s="98"/>
      <c r="Z52" s="24"/>
    </row>
    <row r="53" spans="1:26" x14ac:dyDescent="0.2">
      <c r="A53" s="80" t="s">
        <v>355</v>
      </c>
      <c r="B53" s="81"/>
      <c r="C53" s="81"/>
      <c r="D53" s="82"/>
      <c r="E53" s="82"/>
      <c r="F53" s="81"/>
      <c r="G53" s="81"/>
      <c r="H53" s="82"/>
      <c r="I53" s="81"/>
      <c r="J53" s="81"/>
      <c r="K53" s="81"/>
      <c r="L53" s="81"/>
      <c r="M53" s="81"/>
      <c r="N53" s="82"/>
      <c r="O53" s="83"/>
      <c r="P53" s="81"/>
      <c r="Q53" s="81"/>
      <c r="R53" s="84"/>
      <c r="S53" s="85"/>
      <c r="T53" s="85"/>
      <c r="U53" s="85"/>
      <c r="V53" s="85"/>
      <c r="W53" s="85"/>
      <c r="X53" s="85"/>
      <c r="Y53" s="85"/>
      <c r="Z53" s="86"/>
    </row>
    <row r="54" spans="1:26" x14ac:dyDescent="0.2">
      <c r="A54" s="87" t="s">
        <v>170</v>
      </c>
      <c r="B54" s="88"/>
      <c r="C54" s="89"/>
      <c r="D54" s="90" t="s">
        <v>77</v>
      </c>
      <c r="E54" s="90" t="s">
        <v>174</v>
      </c>
      <c r="F54" s="218" t="s">
        <v>167</v>
      </c>
      <c r="G54" s="92"/>
      <c r="H54" s="90"/>
      <c r="I54" s="91" t="s">
        <v>164</v>
      </c>
      <c r="J54" s="93"/>
      <c r="K54" s="91" t="s">
        <v>82</v>
      </c>
      <c r="L54" s="93"/>
      <c r="M54" s="92"/>
      <c r="N54" s="90" t="s">
        <v>174</v>
      </c>
      <c r="O54" s="94"/>
      <c r="P54" s="88"/>
      <c r="Q54" s="88"/>
      <c r="R54" s="95"/>
      <c r="S54" s="96"/>
      <c r="T54" s="97"/>
      <c r="U54" s="98"/>
      <c r="V54" s="98"/>
      <c r="W54" s="98"/>
      <c r="X54" s="98"/>
      <c r="Y54" s="98"/>
      <c r="Z54" s="24"/>
    </row>
    <row r="55" spans="1:26" x14ac:dyDescent="0.2">
      <c r="A55" s="87" t="s">
        <v>10</v>
      </c>
      <c r="B55" s="88"/>
      <c r="C55" s="89"/>
      <c r="D55" s="90" t="s">
        <v>77</v>
      </c>
      <c r="E55" s="90" t="s">
        <v>174</v>
      </c>
      <c r="F55" s="218" t="s">
        <v>171</v>
      </c>
      <c r="G55" s="92"/>
      <c r="H55" s="90"/>
      <c r="I55" s="91" t="s">
        <v>164</v>
      </c>
      <c r="J55" s="93"/>
      <c r="K55" s="91" t="s">
        <v>82</v>
      </c>
      <c r="L55" s="93"/>
      <c r="M55" s="92"/>
      <c r="N55" s="90" t="s">
        <v>174</v>
      </c>
      <c r="O55" s="94"/>
      <c r="P55" s="88"/>
      <c r="Q55" s="88"/>
      <c r="R55" s="95"/>
      <c r="S55" s="96"/>
      <c r="T55" s="97"/>
      <c r="U55" s="98"/>
      <c r="V55" s="98"/>
      <c r="W55" s="98"/>
      <c r="X55" s="98"/>
      <c r="Y55" s="98"/>
      <c r="Z55" s="24"/>
    </row>
    <row r="56" spans="1:26" x14ac:dyDescent="0.2">
      <c r="A56" s="87" t="s">
        <v>172</v>
      </c>
      <c r="B56" s="88"/>
      <c r="C56" s="89"/>
      <c r="D56" s="90" t="s">
        <v>77</v>
      </c>
      <c r="E56" s="90" t="s">
        <v>174</v>
      </c>
      <c r="F56" s="218" t="s">
        <v>171</v>
      </c>
      <c r="G56" s="92"/>
      <c r="H56" s="90"/>
      <c r="I56" s="91" t="s">
        <v>164</v>
      </c>
      <c r="J56" s="93"/>
      <c r="K56" s="91" t="s">
        <v>82</v>
      </c>
      <c r="L56" s="93"/>
      <c r="M56" s="92"/>
      <c r="N56" s="90" t="s">
        <v>174</v>
      </c>
      <c r="O56" s="94"/>
      <c r="P56" s="88"/>
      <c r="Q56" s="88"/>
      <c r="R56" s="95"/>
      <c r="S56" s="96"/>
      <c r="T56" s="97"/>
      <c r="U56" s="98"/>
      <c r="V56" s="98"/>
      <c r="W56" s="98"/>
      <c r="X56" s="98"/>
      <c r="Y56" s="98"/>
      <c r="Z56" s="24"/>
    </row>
    <row r="57" spans="1:26" x14ac:dyDescent="0.2">
      <c r="A57" s="87" t="s">
        <v>265</v>
      </c>
      <c r="B57" s="88"/>
      <c r="C57" s="89"/>
      <c r="D57" s="90" t="s">
        <v>77</v>
      </c>
      <c r="E57" s="90" t="s">
        <v>174</v>
      </c>
      <c r="F57" s="218" t="s">
        <v>173</v>
      </c>
      <c r="G57" s="92"/>
      <c r="H57" s="90"/>
      <c r="I57" s="91" t="s">
        <v>164</v>
      </c>
      <c r="J57" s="93"/>
      <c r="K57" s="91" t="s">
        <v>82</v>
      </c>
      <c r="L57" s="93"/>
      <c r="M57" s="92"/>
      <c r="N57" s="90" t="s">
        <v>174</v>
      </c>
      <c r="O57" s="94"/>
      <c r="P57" s="88"/>
      <c r="Q57" s="88"/>
      <c r="R57" s="95"/>
      <c r="S57" s="96"/>
      <c r="T57" s="87" t="s">
        <v>361</v>
      </c>
      <c r="U57" s="98"/>
      <c r="V57" s="98"/>
      <c r="W57" s="98"/>
      <c r="X57" s="98"/>
      <c r="Y57" s="98"/>
      <c r="Z57" s="24"/>
    </row>
    <row r="58" spans="1:26" x14ac:dyDescent="0.2">
      <c r="A58" s="87" t="s">
        <v>270</v>
      </c>
      <c r="B58" s="88"/>
      <c r="C58" s="89"/>
      <c r="D58" s="90" t="s">
        <v>77</v>
      </c>
      <c r="E58" s="90" t="s">
        <v>174</v>
      </c>
      <c r="F58" s="218" t="s">
        <v>167</v>
      </c>
      <c r="G58" s="92"/>
      <c r="H58" s="90"/>
      <c r="I58" s="91" t="s">
        <v>164</v>
      </c>
      <c r="J58" s="93"/>
      <c r="K58" s="91" t="s">
        <v>82</v>
      </c>
      <c r="L58" s="93"/>
      <c r="M58" s="92"/>
      <c r="N58" s="90" t="s">
        <v>174</v>
      </c>
      <c r="O58" s="94"/>
      <c r="P58" s="88"/>
      <c r="Q58" s="88"/>
      <c r="R58" s="95"/>
      <c r="S58" s="96"/>
      <c r="T58" s="97"/>
      <c r="U58" s="98"/>
      <c r="V58" s="98"/>
      <c r="W58" s="98"/>
      <c r="X58" s="98"/>
      <c r="Y58" s="98"/>
      <c r="Z58" s="24"/>
    </row>
    <row r="59" spans="1:26" x14ac:dyDescent="0.2">
      <c r="A59" s="87"/>
      <c r="B59" s="88"/>
      <c r="C59" s="89"/>
      <c r="D59" s="90"/>
      <c r="E59" s="90"/>
      <c r="F59" s="91"/>
      <c r="G59" s="89"/>
      <c r="H59" s="90"/>
      <c r="I59" s="87"/>
      <c r="J59" s="88"/>
      <c r="K59" s="87"/>
      <c r="L59" s="88"/>
      <c r="M59" s="89"/>
      <c r="N59" s="90"/>
      <c r="O59" s="94"/>
      <c r="P59" s="88"/>
      <c r="Q59" s="88"/>
      <c r="R59" s="95"/>
      <c r="S59" s="96"/>
      <c r="T59" s="97"/>
      <c r="U59" s="98"/>
      <c r="V59" s="98"/>
      <c r="W59" s="98"/>
      <c r="X59" s="98"/>
      <c r="Y59" s="98"/>
      <c r="Z59" s="24"/>
    </row>
  </sheetData>
  <mergeCells count="5">
    <mergeCell ref="W2:Z2"/>
    <mergeCell ref="S2:V2"/>
    <mergeCell ref="N2:R2"/>
    <mergeCell ref="I32:J32"/>
    <mergeCell ref="I11:J11"/>
  </mergeCells>
  <phoneticPr fontId="2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rowBreaks count="1" manualBreakCount="1">
    <brk id="25" max="2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2868-3EC4-4C86-BB1F-6D6F784C6CB8}">
  <sheetPr codeName="Sheet6"/>
  <dimension ref="A1:Z208"/>
  <sheetViews>
    <sheetView view="pageBreakPreview" zoomScale="85" zoomScaleNormal="100" zoomScaleSheetLayoutView="85" workbookViewId="0">
      <pane ySplit="3" topLeftCell="A154" activePane="bottomLeft" state="frozen"/>
      <selection activeCell="A47" sqref="A47"/>
      <selection pane="bottomLeft" activeCell="H161" sqref="H161"/>
    </sheetView>
  </sheetViews>
  <sheetFormatPr defaultRowHeight="13" x14ac:dyDescent="0.2"/>
  <cols>
    <col min="1" max="11" width="5.26953125" customWidth="1"/>
    <col min="12" max="13" width="5.08984375" customWidth="1"/>
    <col min="14" max="26" width="5.26953125" customWidth="1"/>
  </cols>
  <sheetData>
    <row r="1" spans="1:26" ht="30" customHeight="1" thickBot="1" x14ac:dyDescent="0.25"/>
    <row r="2" spans="1:26" ht="34.5" customHeight="1" x14ac:dyDescent="0.3">
      <c r="A2" s="3" t="str">
        <f>画面構成!A2</f>
        <v>[BIRD]</v>
      </c>
      <c r="B2" s="4"/>
      <c r="C2" s="5" t="str">
        <f>画面構成!C2</f>
        <v>画面設計書</v>
      </c>
      <c r="D2" s="4"/>
      <c r="E2" s="4"/>
      <c r="F2" s="4"/>
      <c r="G2" s="4"/>
      <c r="H2" s="4"/>
      <c r="I2" s="4"/>
      <c r="J2" s="4"/>
      <c r="K2" s="4"/>
      <c r="L2" s="4"/>
      <c r="M2" s="4"/>
      <c r="N2" s="271" t="str">
        <f>画面構成!N2</f>
        <v>管理番号：DN-030103-019.01
分類　　　：要求仕様書</v>
      </c>
      <c r="O2" s="272"/>
      <c r="P2" s="272"/>
      <c r="Q2" s="272"/>
      <c r="R2" s="272"/>
      <c r="S2" s="271" t="str">
        <f>画面構成!S2</f>
        <v>更新者：ISID 加藤
更新日：2006/11/28</v>
      </c>
      <c r="T2" s="271"/>
      <c r="U2" s="271"/>
      <c r="V2" s="271"/>
      <c r="W2" s="271" t="str">
        <f>画面構成!W2</f>
        <v>作成者：ISID 加藤
作成日：2006/11/28</v>
      </c>
      <c r="X2" s="271"/>
      <c r="Y2" s="271"/>
      <c r="Z2" s="271"/>
    </row>
    <row r="3" spans="1:26" ht="8.25" customHeight="1" x14ac:dyDescent="0.2"/>
    <row r="4" spans="1:26" x14ac:dyDescent="0.2">
      <c r="A4" s="6" t="s">
        <v>87</v>
      </c>
      <c r="B4" s="7"/>
      <c r="C4" s="7"/>
      <c r="D4" s="8"/>
      <c r="E4" s="9" t="s">
        <v>46</v>
      </c>
      <c r="F4" s="10"/>
      <c r="G4" s="11" t="str">
        <f>画面構成!G4</f>
        <v>BEN016</v>
      </c>
      <c r="H4" s="12"/>
      <c r="I4" s="9" t="s">
        <v>47</v>
      </c>
      <c r="J4" s="10"/>
      <c r="K4" s="11" t="str">
        <f>画面構成!K4</f>
        <v>全国大会申込状況確認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 x14ac:dyDescent="0.2">
      <c r="A5" s="70" t="s">
        <v>60</v>
      </c>
      <c r="B5" s="71"/>
      <c r="C5" s="72" t="s">
        <v>338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4"/>
    </row>
    <row r="6" spans="1:26" x14ac:dyDescent="0.2">
      <c r="A6" s="43" t="s">
        <v>88</v>
      </c>
      <c r="B6" s="44"/>
      <c r="C6" s="45" t="str">
        <f>CONCATENATE(画面構成!G4, "A", "01")</f>
        <v>BEN016A01</v>
      </c>
      <c r="D6" s="46"/>
      <c r="E6" s="99"/>
      <c r="F6" s="100" t="s">
        <v>89</v>
      </c>
      <c r="G6" s="10"/>
      <c r="H6" t="s">
        <v>246</v>
      </c>
      <c r="I6" s="11"/>
      <c r="J6" s="11"/>
      <c r="K6" s="11"/>
      <c r="L6" s="11"/>
      <c r="M6" s="12"/>
      <c r="N6" s="12"/>
      <c r="O6" s="11"/>
      <c r="P6" s="11"/>
      <c r="Q6" s="11"/>
      <c r="R6" s="9" t="s">
        <v>90</v>
      </c>
      <c r="S6" s="100"/>
      <c r="T6" s="10"/>
      <c r="U6" s="11" t="s">
        <v>91</v>
      </c>
      <c r="V6" s="11"/>
      <c r="W6" s="11"/>
      <c r="X6" s="11"/>
      <c r="Y6" s="11"/>
      <c r="Z6" s="13"/>
    </row>
    <row r="7" spans="1:26" x14ac:dyDescent="0.2">
      <c r="A7" s="101" t="s">
        <v>92</v>
      </c>
      <c r="B7" s="102"/>
      <c r="C7" s="102"/>
      <c r="D7" s="102"/>
      <c r="E7" s="102"/>
      <c r="F7" s="102"/>
      <c r="G7" s="102"/>
      <c r="H7" s="102"/>
      <c r="I7" s="103"/>
      <c r="J7" s="104" t="s">
        <v>93</v>
      </c>
      <c r="K7" s="104"/>
      <c r="L7" s="104"/>
      <c r="M7" s="102"/>
      <c r="N7" s="102"/>
      <c r="O7" s="347"/>
      <c r="P7" s="347"/>
      <c r="Q7" s="347"/>
      <c r="R7" s="104"/>
      <c r="S7" s="104"/>
      <c r="T7" s="104"/>
      <c r="U7" s="104"/>
      <c r="V7" s="104"/>
      <c r="W7" s="104"/>
      <c r="X7" s="104"/>
      <c r="Y7" s="104"/>
      <c r="Z7" s="103"/>
    </row>
    <row r="8" spans="1:26" x14ac:dyDescent="0.2">
      <c r="A8" s="170"/>
      <c r="B8" s="254"/>
      <c r="C8" s="254"/>
      <c r="D8" s="254"/>
      <c r="E8" s="254"/>
      <c r="F8" s="254"/>
      <c r="G8" s="254"/>
      <c r="H8" s="254"/>
      <c r="I8" s="255"/>
      <c r="J8" s="110" t="s">
        <v>415</v>
      </c>
      <c r="K8" s="110"/>
      <c r="L8" s="110"/>
      <c r="M8" s="110"/>
      <c r="N8" s="110"/>
      <c r="O8" s="109"/>
      <c r="P8" s="109"/>
      <c r="Q8" s="109"/>
      <c r="R8" s="112"/>
      <c r="S8" s="112"/>
      <c r="T8" s="112"/>
      <c r="U8" s="112"/>
      <c r="V8" s="112"/>
      <c r="W8" s="112"/>
      <c r="X8" s="112"/>
      <c r="Y8" s="112"/>
      <c r="Z8" s="113"/>
    </row>
    <row r="9" spans="1:26" x14ac:dyDescent="0.2">
      <c r="A9" s="173"/>
      <c r="B9" s="106"/>
      <c r="C9" s="106"/>
      <c r="D9" s="106"/>
      <c r="E9" s="106"/>
      <c r="F9" s="106"/>
      <c r="G9" s="106"/>
      <c r="H9" s="106"/>
      <c r="I9" s="107"/>
      <c r="J9" s="118"/>
      <c r="K9" s="118" t="s">
        <v>367</v>
      </c>
      <c r="L9" s="118" t="s">
        <v>366</v>
      </c>
      <c r="M9" s="118"/>
      <c r="N9" s="118"/>
      <c r="O9" s="68"/>
      <c r="P9" s="68"/>
      <c r="Q9" s="68"/>
      <c r="R9" s="116"/>
      <c r="S9" s="68"/>
      <c r="T9" s="68"/>
      <c r="U9" s="68"/>
      <c r="V9" s="68"/>
      <c r="W9" s="68"/>
      <c r="X9" s="68"/>
      <c r="Y9" s="68"/>
      <c r="Z9" s="117"/>
    </row>
    <row r="10" spans="1:26" x14ac:dyDescent="0.2">
      <c r="A10" s="105"/>
      <c r="B10" s="106"/>
      <c r="C10" s="106"/>
      <c r="D10" s="106"/>
      <c r="E10" s="106"/>
      <c r="F10" s="106"/>
      <c r="G10" s="106"/>
      <c r="H10" s="106"/>
      <c r="I10" s="107"/>
      <c r="J10" s="114"/>
      <c r="K10" s="118" t="s">
        <v>368</v>
      </c>
      <c r="L10" s="118" t="s">
        <v>374</v>
      </c>
      <c r="M10" s="118"/>
      <c r="N10" s="11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117"/>
    </row>
    <row r="11" spans="1:26" x14ac:dyDescent="0.2">
      <c r="A11" s="105"/>
      <c r="B11" s="119"/>
      <c r="C11" s="106"/>
      <c r="D11" s="106"/>
      <c r="E11" s="106"/>
      <c r="F11" s="106"/>
      <c r="G11" s="106"/>
      <c r="H11" s="106"/>
      <c r="I11" s="107"/>
      <c r="J11" s="114"/>
      <c r="K11" s="118" t="s">
        <v>369</v>
      </c>
      <c r="L11" s="118" t="s">
        <v>375</v>
      </c>
      <c r="M11" s="106"/>
      <c r="N11" s="115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117"/>
    </row>
    <row r="12" spans="1:26" x14ac:dyDescent="0.2">
      <c r="A12" s="105"/>
      <c r="B12" s="106"/>
      <c r="C12" s="106"/>
      <c r="D12" s="106"/>
      <c r="E12" s="106"/>
      <c r="F12" s="106"/>
      <c r="G12" s="106"/>
      <c r="H12" s="118"/>
      <c r="I12" s="107"/>
      <c r="J12" s="118"/>
      <c r="K12" s="118" t="s">
        <v>370</v>
      </c>
      <c r="L12" s="118" t="s">
        <v>376</v>
      </c>
      <c r="M12" s="106"/>
      <c r="N12" s="53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117"/>
    </row>
    <row r="13" spans="1:26" x14ac:dyDescent="0.2">
      <c r="A13" s="105"/>
      <c r="B13" s="106"/>
      <c r="C13" s="106"/>
      <c r="D13" s="106"/>
      <c r="E13" s="106"/>
      <c r="F13" s="106"/>
      <c r="G13" s="106"/>
      <c r="H13" s="118"/>
      <c r="I13" s="107"/>
      <c r="J13" s="118"/>
      <c r="K13" s="118" t="s">
        <v>371</v>
      </c>
      <c r="L13" s="118" t="s">
        <v>377</v>
      </c>
      <c r="M13" s="106"/>
      <c r="N13" s="11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117"/>
    </row>
    <row r="14" spans="1:26" x14ac:dyDescent="0.2">
      <c r="A14" s="105"/>
      <c r="B14" s="106"/>
      <c r="C14" s="106"/>
      <c r="D14" s="106"/>
      <c r="E14" s="106"/>
      <c r="F14" s="106"/>
      <c r="G14" s="106"/>
      <c r="H14" s="106"/>
      <c r="I14" s="107"/>
      <c r="J14" s="68"/>
      <c r="K14" s="118" t="s">
        <v>406</v>
      </c>
      <c r="L14" s="118"/>
      <c r="M14" s="68" t="s">
        <v>460</v>
      </c>
      <c r="N14" s="115"/>
      <c r="O14" s="68"/>
      <c r="P14" s="68"/>
      <c r="Q14" s="68"/>
      <c r="R14" s="220"/>
      <c r="S14" s="220"/>
      <c r="T14" s="220"/>
      <c r="U14" s="220"/>
      <c r="V14" s="220"/>
      <c r="W14" s="220"/>
      <c r="X14" s="220"/>
      <c r="Y14" s="220"/>
      <c r="Z14" s="117"/>
    </row>
    <row r="15" spans="1:26" x14ac:dyDescent="0.2">
      <c r="A15" s="105"/>
      <c r="B15" s="106"/>
      <c r="C15" s="106"/>
      <c r="D15" s="106"/>
      <c r="E15" s="106"/>
      <c r="F15" s="106"/>
      <c r="G15" s="106"/>
      <c r="H15" s="106"/>
      <c r="I15" s="107"/>
      <c r="J15" s="68"/>
      <c r="K15" s="118"/>
      <c r="L15" s="118"/>
      <c r="M15" s="68" t="s">
        <v>407</v>
      </c>
      <c r="N15" s="115"/>
      <c r="O15" s="68"/>
      <c r="P15" s="68"/>
      <c r="Q15" s="68"/>
      <c r="R15" s="220"/>
      <c r="S15" s="220"/>
      <c r="T15" s="220"/>
      <c r="U15" s="220"/>
      <c r="V15" s="220"/>
      <c r="W15" s="220"/>
      <c r="X15" s="220"/>
      <c r="Y15" s="220"/>
      <c r="Z15" s="117"/>
    </row>
    <row r="16" spans="1:26" x14ac:dyDescent="0.2">
      <c r="A16" s="105"/>
      <c r="B16" s="106"/>
      <c r="C16" s="106"/>
      <c r="D16" s="106"/>
      <c r="E16" s="106"/>
      <c r="F16" s="106"/>
      <c r="G16" s="106"/>
      <c r="H16" s="106"/>
      <c r="I16" s="107"/>
      <c r="J16" s="68"/>
      <c r="K16" s="118"/>
      <c r="L16" s="118"/>
      <c r="M16" s="68" t="s">
        <v>461</v>
      </c>
      <c r="N16" s="115"/>
      <c r="O16" s="68"/>
      <c r="P16" s="68"/>
      <c r="Q16" s="68"/>
      <c r="R16" s="220"/>
      <c r="S16" s="220"/>
      <c r="T16" s="220"/>
      <c r="U16" s="220"/>
      <c r="V16" s="220"/>
      <c r="W16" s="220"/>
      <c r="X16" s="220"/>
      <c r="Y16" s="220"/>
      <c r="Z16" s="117"/>
    </row>
    <row r="17" spans="1:26" x14ac:dyDescent="0.2">
      <c r="A17" s="105"/>
      <c r="B17" s="106"/>
      <c r="C17" s="106"/>
      <c r="D17" s="106"/>
      <c r="E17" s="106"/>
      <c r="F17" s="106"/>
      <c r="G17" s="106"/>
      <c r="H17" s="106"/>
      <c r="I17" s="107"/>
      <c r="J17" s="68"/>
      <c r="K17" s="118"/>
      <c r="L17" s="118"/>
      <c r="M17" s="68" t="s">
        <v>462</v>
      </c>
      <c r="N17" s="115"/>
      <c r="O17" s="68"/>
      <c r="P17" s="68"/>
      <c r="Q17" s="68"/>
      <c r="R17" s="220"/>
      <c r="S17" s="220"/>
      <c r="T17" s="220"/>
      <c r="U17" s="220"/>
      <c r="V17" s="220"/>
      <c r="W17" s="220"/>
      <c r="X17" s="220"/>
      <c r="Y17" s="220"/>
      <c r="Z17" s="117"/>
    </row>
    <row r="18" spans="1:26" x14ac:dyDescent="0.2">
      <c r="A18" s="105"/>
      <c r="B18" s="106"/>
      <c r="C18" s="106"/>
      <c r="D18" s="106"/>
      <c r="E18" s="106"/>
      <c r="F18" s="106"/>
      <c r="G18" s="106"/>
      <c r="H18" s="106"/>
      <c r="I18" s="107"/>
      <c r="J18" s="68"/>
      <c r="K18" s="118"/>
      <c r="L18" s="118"/>
      <c r="M18" s="68" t="s">
        <v>463</v>
      </c>
      <c r="N18" s="115"/>
      <c r="O18" s="68"/>
      <c r="P18" s="68"/>
      <c r="Q18" s="68"/>
      <c r="R18" s="220"/>
      <c r="S18" s="220"/>
      <c r="T18" s="220"/>
      <c r="U18" s="220"/>
      <c r="V18" s="220"/>
      <c r="W18" s="220"/>
      <c r="X18" s="220"/>
      <c r="Y18" s="220"/>
      <c r="Z18" s="117"/>
    </row>
    <row r="19" spans="1:26" x14ac:dyDescent="0.2">
      <c r="A19" s="105"/>
      <c r="B19" s="106"/>
      <c r="C19" s="106"/>
      <c r="D19" s="106"/>
      <c r="E19" s="106"/>
      <c r="F19" s="106"/>
      <c r="G19" s="106"/>
      <c r="H19" s="118"/>
      <c r="I19" s="107"/>
      <c r="J19" s="118"/>
      <c r="K19" s="118" t="s">
        <v>372</v>
      </c>
      <c r="L19" s="118" t="s">
        <v>443</v>
      </c>
      <c r="M19" s="106"/>
      <c r="N19" s="11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117"/>
    </row>
    <row r="20" spans="1:26" x14ac:dyDescent="0.2">
      <c r="A20" s="105"/>
      <c r="B20" s="106"/>
      <c r="C20" s="106"/>
      <c r="D20" s="106"/>
      <c r="E20" s="106"/>
      <c r="F20" s="106"/>
      <c r="G20" s="106"/>
      <c r="H20" s="118"/>
      <c r="I20" s="107"/>
      <c r="J20" s="118"/>
      <c r="K20" s="118" t="s">
        <v>373</v>
      </c>
      <c r="L20" s="118" t="s">
        <v>444</v>
      </c>
      <c r="M20" s="106"/>
      <c r="N20" s="11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117"/>
    </row>
    <row r="21" spans="1:26" x14ac:dyDescent="0.2">
      <c r="A21" s="105"/>
      <c r="B21" s="106"/>
      <c r="C21" s="106"/>
      <c r="D21" s="106"/>
      <c r="E21" s="106"/>
      <c r="F21" s="106"/>
      <c r="G21" s="106"/>
      <c r="H21" s="118"/>
      <c r="I21" s="107"/>
      <c r="J21" s="114"/>
      <c r="K21" s="118" t="s">
        <v>378</v>
      </c>
      <c r="L21" s="68" t="s">
        <v>379</v>
      </c>
      <c r="M21" s="106"/>
      <c r="N21" s="11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117"/>
    </row>
    <row r="22" spans="1:26" x14ac:dyDescent="0.2">
      <c r="A22" s="105"/>
      <c r="B22" s="106"/>
      <c r="C22" s="106"/>
      <c r="D22" s="106"/>
      <c r="E22" s="106"/>
      <c r="F22" s="106"/>
      <c r="G22" s="106"/>
      <c r="H22" s="118"/>
      <c r="I22" s="107"/>
      <c r="J22" s="114"/>
      <c r="K22" s="118" t="s">
        <v>380</v>
      </c>
      <c r="L22" s="68" t="s">
        <v>445</v>
      </c>
      <c r="M22" s="106"/>
      <c r="N22" s="11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117"/>
    </row>
    <row r="23" spans="1:26" x14ac:dyDescent="0.2">
      <c r="A23" s="105"/>
      <c r="B23" s="106"/>
      <c r="C23" s="106"/>
      <c r="D23" s="106"/>
      <c r="E23" s="106"/>
      <c r="F23" s="106"/>
      <c r="G23" s="106"/>
      <c r="H23" s="118"/>
      <c r="I23" s="107"/>
      <c r="J23" s="118"/>
      <c r="K23" s="118" t="s">
        <v>381</v>
      </c>
      <c r="L23" s="68" t="s">
        <v>446</v>
      </c>
      <c r="M23" s="106"/>
      <c r="N23" s="11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117"/>
    </row>
    <row r="24" spans="1:26" x14ac:dyDescent="0.2">
      <c r="A24" s="105"/>
      <c r="B24" s="106"/>
      <c r="C24" s="106"/>
      <c r="D24" s="106"/>
      <c r="E24" s="106"/>
      <c r="F24" s="106"/>
      <c r="G24" s="106"/>
      <c r="H24" s="118"/>
      <c r="I24" s="107"/>
      <c r="J24" s="118"/>
      <c r="K24" s="118" t="s">
        <v>382</v>
      </c>
      <c r="L24" s="68" t="s">
        <v>447</v>
      </c>
      <c r="M24" s="106"/>
      <c r="N24" s="11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117"/>
    </row>
    <row r="25" spans="1:26" x14ac:dyDescent="0.2">
      <c r="A25" s="101" t="s">
        <v>94</v>
      </c>
      <c r="B25" s="102"/>
      <c r="C25" s="102"/>
      <c r="D25" s="104"/>
      <c r="E25" s="104"/>
      <c r="F25" s="104"/>
      <c r="G25" s="104"/>
      <c r="H25" s="104"/>
      <c r="I25" s="103"/>
      <c r="J25" s="118"/>
      <c r="K25" s="118" t="s">
        <v>383</v>
      </c>
      <c r="L25" s="68" t="s">
        <v>416</v>
      </c>
      <c r="M25" s="106"/>
      <c r="N25" s="11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117"/>
    </row>
    <row r="26" spans="1:26" x14ac:dyDescent="0.2">
      <c r="A26" s="256" t="s">
        <v>175</v>
      </c>
      <c r="B26" s="121"/>
      <c r="C26" s="121"/>
      <c r="D26" s="121"/>
      <c r="E26" s="121"/>
      <c r="F26" s="121"/>
      <c r="G26" s="121"/>
      <c r="H26" s="121"/>
      <c r="I26" s="122"/>
      <c r="J26" s="118"/>
      <c r="K26" s="118" t="s">
        <v>509</v>
      </c>
      <c r="L26" s="53"/>
      <c r="M26" s="106"/>
      <c r="N26" s="11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117"/>
    </row>
    <row r="27" spans="1:26" x14ac:dyDescent="0.2">
      <c r="A27" s="105"/>
      <c r="B27" s="119"/>
      <c r="C27" s="119"/>
      <c r="D27" s="119"/>
      <c r="E27" s="119"/>
      <c r="F27" s="119"/>
      <c r="G27" s="119"/>
      <c r="H27" s="119"/>
      <c r="I27" s="131"/>
      <c r="J27" s="118"/>
      <c r="K27" s="118"/>
      <c r="L27" s="53"/>
      <c r="M27" s="106"/>
      <c r="N27" s="11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117"/>
    </row>
    <row r="28" spans="1:26" x14ac:dyDescent="0.2">
      <c r="A28" s="105"/>
      <c r="B28" s="119"/>
      <c r="C28" s="119"/>
      <c r="D28" s="119"/>
      <c r="E28" s="119"/>
      <c r="F28" s="119"/>
      <c r="G28" s="119"/>
      <c r="H28" s="119"/>
      <c r="I28" s="131"/>
      <c r="J28" s="118" t="s">
        <v>384</v>
      </c>
      <c r="K28" s="118"/>
      <c r="L28" s="68"/>
      <c r="M28" s="106"/>
      <c r="N28" s="11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117"/>
    </row>
    <row r="29" spans="1:26" x14ac:dyDescent="0.2">
      <c r="A29" s="105"/>
      <c r="B29" s="119"/>
      <c r="C29" s="119"/>
      <c r="D29" s="119"/>
      <c r="E29" s="119"/>
      <c r="F29" s="119"/>
      <c r="G29" s="119"/>
      <c r="H29" s="119"/>
      <c r="I29" s="131"/>
      <c r="J29" s="118"/>
      <c r="K29" s="118" t="s">
        <v>385</v>
      </c>
      <c r="L29" s="68" t="s">
        <v>389</v>
      </c>
      <c r="M29" s="118"/>
      <c r="N29" s="53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117"/>
    </row>
    <row r="30" spans="1:26" x14ac:dyDescent="0.2">
      <c r="A30" s="123"/>
      <c r="B30" s="106"/>
      <c r="C30" s="106"/>
      <c r="D30" s="106"/>
      <c r="E30" s="106"/>
      <c r="F30" s="106"/>
      <c r="G30" s="106"/>
      <c r="H30" s="106"/>
      <c r="I30" s="124"/>
      <c r="J30" s="118"/>
      <c r="K30" s="118" t="s">
        <v>386</v>
      </c>
      <c r="L30" s="68" t="s">
        <v>397</v>
      </c>
      <c r="M30" s="119"/>
      <c r="N30" s="68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117"/>
    </row>
    <row r="31" spans="1:26" x14ac:dyDescent="0.2">
      <c r="A31" s="123"/>
      <c r="B31" s="106"/>
      <c r="C31" s="106"/>
      <c r="D31" s="106"/>
      <c r="E31" s="106"/>
      <c r="F31" s="106"/>
      <c r="G31" s="106"/>
      <c r="H31" s="106"/>
      <c r="I31" s="124"/>
      <c r="J31" s="118"/>
      <c r="K31" s="118"/>
      <c r="L31" s="68" t="s">
        <v>448</v>
      </c>
      <c r="M31" s="119"/>
      <c r="N31" s="68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117"/>
    </row>
    <row r="32" spans="1:26" x14ac:dyDescent="0.2">
      <c r="A32" s="105"/>
      <c r="B32" s="119"/>
      <c r="C32" s="119"/>
      <c r="D32" s="119"/>
      <c r="E32" s="119"/>
      <c r="F32" s="119"/>
      <c r="G32" s="119"/>
      <c r="H32" s="119"/>
      <c r="I32" s="131"/>
      <c r="J32" s="118"/>
      <c r="K32" s="118" t="s">
        <v>387</v>
      </c>
      <c r="L32" s="68" t="s">
        <v>390</v>
      </c>
      <c r="M32" s="119"/>
      <c r="N32" s="68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117"/>
    </row>
    <row r="33" spans="1:26" x14ac:dyDescent="0.2">
      <c r="A33" s="105"/>
      <c r="B33" s="119"/>
      <c r="C33" s="119"/>
      <c r="D33" s="119"/>
      <c r="E33" s="119"/>
      <c r="F33" s="119"/>
      <c r="G33" s="119"/>
      <c r="H33" s="119"/>
      <c r="I33" s="131"/>
      <c r="J33" s="118"/>
      <c r="K33" s="118" t="s">
        <v>388</v>
      </c>
      <c r="L33" s="68" t="s">
        <v>391</v>
      </c>
      <c r="M33" s="119"/>
      <c r="N33" s="68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117"/>
    </row>
    <row r="34" spans="1:26" x14ac:dyDescent="0.2">
      <c r="A34" s="105"/>
      <c r="B34" s="119"/>
      <c r="C34" s="119"/>
      <c r="D34" s="119"/>
      <c r="E34" s="119"/>
      <c r="F34" s="119"/>
      <c r="G34" s="119"/>
      <c r="H34" s="119"/>
      <c r="I34" s="131"/>
      <c r="J34" s="118"/>
      <c r="K34" s="118" t="s">
        <v>510</v>
      </c>
      <c r="L34" s="68" t="s">
        <v>511</v>
      </c>
      <c r="M34" s="119"/>
      <c r="N34" s="68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117"/>
    </row>
    <row r="35" spans="1:26" x14ac:dyDescent="0.2">
      <c r="A35" s="123"/>
      <c r="B35" s="106"/>
      <c r="C35" s="106"/>
      <c r="D35" s="106"/>
      <c r="E35" s="106"/>
      <c r="F35" s="106"/>
      <c r="G35" s="106"/>
      <c r="H35" s="106"/>
      <c r="I35" s="124"/>
      <c r="J35" s="114"/>
      <c r="K35" s="118"/>
      <c r="L35" s="68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117"/>
    </row>
    <row r="36" spans="1:26" x14ac:dyDescent="0.2">
      <c r="A36" s="123"/>
      <c r="B36" s="106"/>
      <c r="C36" s="106"/>
      <c r="D36" s="106"/>
      <c r="E36" s="106"/>
      <c r="F36" s="106"/>
      <c r="G36" s="106"/>
      <c r="H36" s="106"/>
      <c r="I36" s="124"/>
      <c r="J36" s="114" t="s">
        <v>413</v>
      </c>
      <c r="K36" s="118"/>
      <c r="L36" s="68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117"/>
    </row>
    <row r="37" spans="1:26" x14ac:dyDescent="0.2">
      <c r="A37" s="123"/>
      <c r="B37" s="106"/>
      <c r="C37" s="106"/>
      <c r="D37" s="106"/>
      <c r="E37" s="106"/>
      <c r="F37" s="106"/>
      <c r="G37" s="106"/>
      <c r="H37" s="106"/>
      <c r="I37" s="124"/>
      <c r="J37" s="114"/>
      <c r="K37" s="118"/>
      <c r="L37" s="68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117"/>
    </row>
    <row r="38" spans="1:26" x14ac:dyDescent="0.2">
      <c r="A38" s="123"/>
      <c r="B38" s="106"/>
      <c r="C38" s="106"/>
      <c r="D38" s="106"/>
      <c r="E38" s="106"/>
      <c r="F38" s="106"/>
      <c r="G38" s="106"/>
      <c r="H38" s="106"/>
      <c r="I38" s="124"/>
      <c r="J38" s="114" t="s">
        <v>414</v>
      </c>
      <c r="K38" s="118"/>
      <c r="L38" s="68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117"/>
    </row>
    <row r="39" spans="1:26" x14ac:dyDescent="0.2">
      <c r="A39" s="43" t="s">
        <v>95</v>
      </c>
      <c r="B39" s="44"/>
      <c r="C39" s="45" t="str">
        <f>CONCATENATE(画面構成!G4, "A", "02")</f>
        <v>BEN016A02</v>
      </c>
      <c r="D39" s="46"/>
      <c r="E39" s="99"/>
      <c r="F39" s="100" t="s">
        <v>89</v>
      </c>
      <c r="G39" s="10"/>
      <c r="H39" s="11" t="s">
        <v>344</v>
      </c>
      <c r="I39" s="11"/>
      <c r="J39" s="11"/>
      <c r="K39" s="11"/>
      <c r="L39" s="11"/>
      <c r="M39" s="12"/>
      <c r="N39" s="12"/>
      <c r="O39" s="11"/>
      <c r="P39" s="11"/>
      <c r="Q39" s="11"/>
      <c r="R39" s="9" t="s">
        <v>90</v>
      </c>
      <c r="S39" s="100"/>
      <c r="T39" s="10"/>
      <c r="U39" s="11" t="s">
        <v>394</v>
      </c>
      <c r="V39" s="11"/>
      <c r="W39" s="11"/>
      <c r="X39" s="11"/>
      <c r="Y39" s="11"/>
      <c r="Z39" s="13"/>
    </row>
    <row r="40" spans="1:26" x14ac:dyDescent="0.2">
      <c r="A40" s="101" t="s">
        <v>92</v>
      </c>
      <c r="B40" s="102"/>
      <c r="C40" s="102"/>
      <c r="D40" s="102"/>
      <c r="E40" s="102"/>
      <c r="F40" s="102"/>
      <c r="G40" s="102"/>
      <c r="H40" s="102"/>
      <c r="I40" s="103"/>
      <c r="J40" s="104" t="s">
        <v>93</v>
      </c>
      <c r="K40" s="104"/>
      <c r="L40" s="104"/>
      <c r="M40" s="102"/>
      <c r="N40" s="102"/>
      <c r="O40" s="347"/>
      <c r="P40" s="347"/>
      <c r="Q40" s="347"/>
      <c r="R40" s="104"/>
      <c r="S40" s="104"/>
      <c r="T40" s="104"/>
      <c r="U40" s="104"/>
      <c r="V40" s="104"/>
      <c r="W40" s="104"/>
      <c r="X40" s="104"/>
      <c r="Y40" s="104"/>
      <c r="Z40" s="103"/>
    </row>
    <row r="41" spans="1:26" x14ac:dyDescent="0.2">
      <c r="A41" s="105"/>
      <c r="B41" s="106"/>
      <c r="C41" s="106"/>
      <c r="D41" s="106"/>
      <c r="E41" s="106"/>
      <c r="F41" s="106"/>
      <c r="G41" s="106"/>
      <c r="H41" s="106"/>
      <c r="I41" s="107"/>
      <c r="J41" s="108" t="s">
        <v>449</v>
      </c>
      <c r="K41" s="109"/>
      <c r="L41" s="110"/>
      <c r="M41" s="111"/>
      <c r="N41" s="111"/>
      <c r="O41" s="109"/>
      <c r="P41" s="109"/>
      <c r="Q41" s="109"/>
      <c r="R41" s="112"/>
      <c r="S41" s="112"/>
      <c r="T41" s="112"/>
      <c r="U41" s="112"/>
      <c r="V41" s="112"/>
      <c r="W41" s="112"/>
      <c r="X41" s="112"/>
      <c r="Y41" s="112"/>
      <c r="Z41" s="113"/>
    </row>
    <row r="42" spans="1:26" x14ac:dyDescent="0.2">
      <c r="A42" s="105"/>
      <c r="B42" s="106"/>
      <c r="C42" s="106"/>
      <c r="D42" s="106"/>
      <c r="E42" s="106"/>
      <c r="F42" s="106"/>
      <c r="G42" s="106"/>
      <c r="H42" s="106"/>
      <c r="I42" s="107"/>
      <c r="J42" s="114"/>
      <c r="K42" s="68"/>
      <c r="L42" s="118"/>
      <c r="M42" s="115"/>
      <c r="N42" s="115"/>
      <c r="O42" s="68"/>
      <c r="P42" s="68"/>
      <c r="Q42" s="68"/>
      <c r="R42" s="220"/>
      <c r="S42" s="220"/>
      <c r="T42" s="220"/>
      <c r="U42" s="220"/>
      <c r="V42" s="220"/>
      <c r="W42" s="220"/>
      <c r="X42" s="220"/>
      <c r="Y42" s="220"/>
      <c r="Z42" s="117"/>
    </row>
    <row r="43" spans="1:26" x14ac:dyDescent="0.2">
      <c r="A43" s="105"/>
      <c r="B43" s="106"/>
      <c r="C43" s="106"/>
      <c r="D43" s="106"/>
      <c r="E43" s="106"/>
      <c r="F43" s="106"/>
      <c r="G43" s="106"/>
      <c r="H43" s="106"/>
      <c r="I43" s="107"/>
      <c r="J43" s="114" t="s">
        <v>417</v>
      </c>
      <c r="K43" s="219"/>
      <c r="L43" s="219"/>
      <c r="M43" s="115"/>
      <c r="N43" s="115"/>
      <c r="O43" s="68"/>
      <c r="P43" s="68"/>
      <c r="Q43" s="68"/>
      <c r="R43" s="220"/>
      <c r="S43" s="220"/>
      <c r="T43" s="220"/>
      <c r="U43" s="220"/>
      <c r="V43" s="220"/>
      <c r="W43" s="220"/>
      <c r="X43" s="220"/>
      <c r="Y43" s="220"/>
      <c r="Z43" s="117"/>
    </row>
    <row r="44" spans="1:26" x14ac:dyDescent="0.2">
      <c r="A44" s="101" t="s">
        <v>94</v>
      </c>
      <c r="B44" s="102"/>
      <c r="C44" s="102"/>
      <c r="D44" s="104"/>
      <c r="E44" s="104"/>
      <c r="F44" s="104"/>
      <c r="G44" s="104"/>
      <c r="H44" s="104"/>
      <c r="I44" s="103"/>
      <c r="J44" s="105"/>
      <c r="K44" s="219"/>
      <c r="L44" s="219"/>
      <c r="M44" s="106"/>
      <c r="N44" s="68"/>
      <c r="O44" s="106"/>
      <c r="P44" s="106"/>
      <c r="Q44" s="68"/>
      <c r="R44" s="68"/>
      <c r="S44" s="53"/>
      <c r="T44" s="53"/>
      <c r="U44" s="53"/>
      <c r="V44" s="53"/>
      <c r="W44" s="53"/>
      <c r="X44" s="53"/>
      <c r="Y44" s="53"/>
      <c r="Z44" s="117"/>
    </row>
    <row r="45" spans="1:26" x14ac:dyDescent="0.2">
      <c r="A45" s="64" t="s">
        <v>393</v>
      </c>
      <c r="B45" s="119"/>
      <c r="C45" s="119"/>
      <c r="D45" s="119"/>
      <c r="E45" s="119"/>
      <c r="F45" s="119"/>
      <c r="G45" s="119"/>
      <c r="H45" s="119"/>
      <c r="I45" s="131"/>
      <c r="J45" s="106" t="s">
        <v>392</v>
      </c>
      <c r="K45" s="53"/>
      <c r="L45" s="53"/>
      <c r="M45" s="53"/>
      <c r="N45" s="68"/>
      <c r="O45" s="106"/>
      <c r="P45" s="106"/>
      <c r="Q45" s="68"/>
      <c r="R45" s="68"/>
      <c r="S45" s="53"/>
      <c r="T45" s="53"/>
      <c r="U45" s="53"/>
      <c r="V45" s="53"/>
      <c r="W45" s="53"/>
      <c r="X45" s="53"/>
      <c r="Y45" s="53"/>
      <c r="Z45" s="117"/>
    </row>
    <row r="46" spans="1:26" x14ac:dyDescent="0.2">
      <c r="A46" s="64"/>
      <c r="B46" s="119"/>
      <c r="C46" s="119"/>
      <c r="D46" s="119"/>
      <c r="E46" s="119"/>
      <c r="F46" s="119"/>
      <c r="G46" s="119"/>
      <c r="H46" s="119"/>
      <c r="I46" s="131"/>
      <c r="J46" s="68"/>
      <c r="K46" s="53"/>
      <c r="L46" s="53"/>
      <c r="M46" s="53"/>
      <c r="N46" s="68"/>
      <c r="O46" s="106"/>
      <c r="P46" s="106"/>
      <c r="Q46" s="68"/>
      <c r="R46" s="68"/>
      <c r="S46" s="53"/>
      <c r="T46" s="53"/>
      <c r="U46" s="53"/>
      <c r="V46" s="53"/>
      <c r="W46" s="53"/>
      <c r="X46" s="53"/>
      <c r="Y46" s="53"/>
      <c r="Z46" s="117"/>
    </row>
    <row r="47" spans="1:26" x14ac:dyDescent="0.2">
      <c r="A47" s="64"/>
      <c r="B47" s="119"/>
      <c r="C47" s="119"/>
      <c r="D47" s="119"/>
      <c r="E47" s="119"/>
      <c r="F47" s="119"/>
      <c r="G47" s="119"/>
      <c r="H47" s="119"/>
      <c r="I47" s="131"/>
      <c r="J47" s="219" t="s">
        <v>3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117"/>
    </row>
    <row r="48" spans="1:26" x14ac:dyDescent="0.2">
      <c r="A48" s="64"/>
      <c r="B48" s="119"/>
      <c r="C48" s="119"/>
      <c r="D48" s="119"/>
      <c r="E48" s="119"/>
      <c r="F48" s="119"/>
      <c r="G48" s="119"/>
      <c r="H48" s="119"/>
      <c r="I48" s="131"/>
      <c r="J48" s="219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117"/>
    </row>
    <row r="49" spans="1:26" x14ac:dyDescent="0.2">
      <c r="A49" s="43" t="s">
        <v>95</v>
      </c>
      <c r="B49" s="44"/>
      <c r="C49" s="45" t="str">
        <f>CONCATENATE(画面構成!G4, "A", "03")</f>
        <v>BEN016A03</v>
      </c>
      <c r="D49" s="46"/>
      <c r="E49" s="99"/>
      <c r="F49" s="100" t="s">
        <v>89</v>
      </c>
      <c r="G49" s="10"/>
      <c r="H49" s="11" t="s">
        <v>349</v>
      </c>
      <c r="I49" s="11"/>
      <c r="J49" s="11"/>
      <c r="K49" s="11"/>
      <c r="L49" s="11"/>
      <c r="M49" s="12"/>
      <c r="N49" s="12"/>
      <c r="O49" s="11"/>
      <c r="P49" s="11"/>
      <c r="Q49" s="11"/>
      <c r="R49" s="9" t="s">
        <v>90</v>
      </c>
      <c r="S49" s="100"/>
      <c r="T49" s="10"/>
      <c r="U49" s="11" t="s">
        <v>363</v>
      </c>
      <c r="V49" s="11"/>
      <c r="W49" s="11"/>
      <c r="X49" s="11"/>
      <c r="Y49" s="11"/>
      <c r="Z49" s="13"/>
    </row>
    <row r="50" spans="1:26" x14ac:dyDescent="0.2">
      <c r="A50" s="101" t="s">
        <v>92</v>
      </c>
      <c r="B50" s="102"/>
      <c r="C50" s="102"/>
      <c r="D50" s="102"/>
      <c r="E50" s="102"/>
      <c r="F50" s="102"/>
      <c r="G50" s="102"/>
      <c r="H50" s="102"/>
      <c r="I50" s="103"/>
      <c r="J50" s="104" t="s">
        <v>93</v>
      </c>
      <c r="K50" s="104"/>
      <c r="L50" s="104"/>
      <c r="M50" s="102"/>
      <c r="N50" s="102"/>
      <c r="O50" s="347"/>
      <c r="P50" s="347"/>
      <c r="Q50" s="347"/>
      <c r="R50" s="104"/>
      <c r="S50" s="104"/>
      <c r="T50" s="104"/>
      <c r="U50" s="104"/>
      <c r="V50" s="104"/>
      <c r="W50" s="104"/>
      <c r="X50" s="104"/>
      <c r="Y50" s="104"/>
      <c r="Z50" s="103"/>
    </row>
    <row r="51" spans="1:26" x14ac:dyDescent="0.2">
      <c r="A51" s="105"/>
      <c r="B51" s="106"/>
      <c r="C51" s="106"/>
      <c r="D51" s="106"/>
      <c r="E51" s="106"/>
      <c r="F51" s="106"/>
      <c r="G51" s="106"/>
      <c r="H51" s="106"/>
      <c r="I51" s="107"/>
      <c r="J51" s="108" t="s">
        <v>405</v>
      </c>
      <c r="K51" s="109"/>
      <c r="L51" s="110"/>
      <c r="M51" s="111"/>
      <c r="N51" s="111"/>
      <c r="O51" s="109"/>
      <c r="P51" s="109"/>
      <c r="Q51" s="109"/>
      <c r="R51" s="112"/>
      <c r="S51" s="112"/>
      <c r="T51" s="112"/>
      <c r="U51" s="112"/>
      <c r="V51" s="112"/>
      <c r="W51" s="112"/>
      <c r="X51" s="112"/>
      <c r="Y51" s="112"/>
      <c r="Z51" s="113"/>
    </row>
    <row r="52" spans="1:26" x14ac:dyDescent="0.2">
      <c r="A52" s="105"/>
      <c r="B52" s="106"/>
      <c r="C52" s="106"/>
      <c r="D52" s="106"/>
      <c r="E52" s="106"/>
      <c r="F52" s="106"/>
      <c r="G52" s="106"/>
      <c r="H52" s="106"/>
      <c r="I52" s="107"/>
      <c r="J52" s="114"/>
      <c r="K52" s="68"/>
      <c r="L52" s="118"/>
      <c r="M52" s="115"/>
      <c r="N52" s="115"/>
      <c r="O52" s="68"/>
      <c r="P52" s="68"/>
      <c r="Q52" s="68"/>
      <c r="R52" s="220"/>
      <c r="S52" s="220"/>
      <c r="T52" s="220"/>
      <c r="U52" s="220"/>
      <c r="V52" s="220"/>
      <c r="W52" s="220"/>
      <c r="X52" s="220"/>
      <c r="Y52" s="220"/>
      <c r="Z52" s="117"/>
    </row>
    <row r="53" spans="1:26" x14ac:dyDescent="0.2">
      <c r="A53" s="105"/>
      <c r="B53" s="106"/>
      <c r="C53" s="106"/>
      <c r="D53" s="106"/>
      <c r="E53" s="106"/>
      <c r="F53" s="106"/>
      <c r="G53" s="106"/>
      <c r="H53" s="106"/>
      <c r="I53" s="107"/>
      <c r="J53" s="114" t="s">
        <v>364</v>
      </c>
      <c r="K53" s="219"/>
      <c r="L53" s="219"/>
      <c r="M53" s="115"/>
      <c r="N53" s="115"/>
      <c r="O53" s="68"/>
      <c r="P53" s="68"/>
      <c r="Q53" s="68"/>
      <c r="R53" s="220"/>
      <c r="S53" s="220"/>
      <c r="T53" s="220"/>
      <c r="U53" s="220"/>
      <c r="V53" s="220"/>
      <c r="W53" s="220"/>
      <c r="X53" s="220"/>
      <c r="Y53" s="220"/>
      <c r="Z53" s="117"/>
    </row>
    <row r="54" spans="1:26" x14ac:dyDescent="0.2">
      <c r="A54" s="105"/>
      <c r="B54" s="106"/>
      <c r="C54" s="106"/>
      <c r="D54" s="106"/>
      <c r="E54" s="106"/>
      <c r="F54" s="106"/>
      <c r="G54" s="106"/>
      <c r="H54" s="106"/>
      <c r="I54" s="107"/>
      <c r="J54" s="68"/>
      <c r="K54" s="219"/>
      <c r="L54" s="219"/>
      <c r="M54" s="115"/>
      <c r="N54" s="115"/>
      <c r="O54" s="68"/>
      <c r="P54" s="68"/>
      <c r="Q54" s="68"/>
      <c r="R54" s="220"/>
      <c r="S54" s="220"/>
      <c r="T54" s="220"/>
      <c r="U54" s="220"/>
      <c r="V54" s="220"/>
      <c r="W54" s="220"/>
      <c r="X54" s="220"/>
      <c r="Y54" s="220"/>
      <c r="Z54" s="117"/>
    </row>
    <row r="55" spans="1:26" x14ac:dyDescent="0.2">
      <c r="A55" s="105"/>
      <c r="B55" s="106"/>
      <c r="C55" s="106"/>
      <c r="D55" s="106"/>
      <c r="E55" s="106"/>
      <c r="F55" s="106"/>
      <c r="G55" s="106"/>
      <c r="H55" s="106"/>
      <c r="I55" s="107"/>
      <c r="J55" s="106" t="s">
        <v>450</v>
      </c>
      <c r="K55" s="219"/>
      <c r="M55" s="106"/>
      <c r="N55" s="115"/>
      <c r="O55" s="68"/>
      <c r="P55" s="68"/>
      <c r="Q55" s="68"/>
      <c r="R55" s="220"/>
      <c r="S55" s="220"/>
      <c r="T55" s="220"/>
      <c r="U55" s="220"/>
      <c r="V55" s="220"/>
      <c r="W55" s="220"/>
      <c r="X55" s="220"/>
      <c r="Y55" s="220"/>
      <c r="Z55" s="117"/>
    </row>
    <row r="56" spans="1:26" x14ac:dyDescent="0.2">
      <c r="A56" s="105"/>
      <c r="B56" s="106"/>
      <c r="C56" s="106"/>
      <c r="D56" s="106"/>
      <c r="E56" s="106"/>
      <c r="F56" s="106"/>
      <c r="G56" s="106"/>
      <c r="H56" s="106"/>
      <c r="I56" s="107"/>
      <c r="J56" s="106"/>
      <c r="K56" s="219"/>
      <c r="L56" s="106"/>
      <c r="M56" s="115"/>
      <c r="N56" s="115"/>
      <c r="O56" s="68"/>
      <c r="P56" s="68"/>
      <c r="Q56" s="68"/>
      <c r="R56" s="220"/>
      <c r="S56" s="220"/>
      <c r="T56" s="220"/>
      <c r="U56" s="220"/>
      <c r="V56" s="220"/>
      <c r="W56" s="220"/>
      <c r="X56" s="220"/>
      <c r="Y56" s="220"/>
      <c r="Z56" s="117"/>
    </row>
    <row r="57" spans="1:26" x14ac:dyDescent="0.2">
      <c r="A57" s="105"/>
      <c r="B57" s="106"/>
      <c r="C57" s="106"/>
      <c r="D57" s="106"/>
      <c r="E57" s="106"/>
      <c r="F57" s="106"/>
      <c r="G57" s="106"/>
      <c r="H57" s="106"/>
      <c r="I57" s="107"/>
      <c r="J57" s="106" t="s">
        <v>451</v>
      </c>
      <c r="K57" s="219"/>
      <c r="M57" s="106"/>
      <c r="N57" s="115"/>
      <c r="O57" s="68"/>
      <c r="P57" s="68"/>
      <c r="Q57" s="68"/>
      <c r="R57" s="220"/>
      <c r="S57" s="220"/>
      <c r="T57" s="220"/>
      <c r="U57" s="220"/>
      <c r="V57" s="220"/>
      <c r="W57" s="220"/>
      <c r="X57" s="220"/>
      <c r="Y57" s="220"/>
      <c r="Z57" s="117"/>
    </row>
    <row r="58" spans="1:26" x14ac:dyDescent="0.2">
      <c r="A58" s="101" t="s">
        <v>94</v>
      </c>
      <c r="B58" s="102"/>
      <c r="C58" s="102"/>
      <c r="D58" s="104"/>
      <c r="E58" s="104"/>
      <c r="F58" s="104"/>
      <c r="G58" s="104"/>
      <c r="H58" s="104"/>
      <c r="I58" s="103"/>
      <c r="J58" s="105"/>
      <c r="K58" s="219"/>
      <c r="L58" s="219"/>
      <c r="M58" s="106"/>
      <c r="N58" s="68"/>
      <c r="O58" s="106"/>
      <c r="P58" s="106"/>
      <c r="Q58" s="68"/>
      <c r="R58" s="68"/>
      <c r="S58" s="53"/>
      <c r="T58" s="53"/>
      <c r="U58" s="53"/>
      <c r="V58" s="53"/>
      <c r="W58" s="53"/>
      <c r="X58" s="53"/>
      <c r="Y58" s="53"/>
      <c r="Z58" s="117"/>
    </row>
    <row r="59" spans="1:26" x14ac:dyDescent="0.2">
      <c r="A59" s="64" t="s">
        <v>365</v>
      </c>
      <c r="B59" s="119"/>
      <c r="C59" s="119"/>
      <c r="D59" s="119"/>
      <c r="E59" s="119"/>
      <c r="F59" s="119"/>
      <c r="G59" s="119"/>
      <c r="H59" s="119"/>
      <c r="I59" s="131"/>
      <c r="J59" s="106" t="s">
        <v>419</v>
      </c>
      <c r="K59" s="53"/>
      <c r="L59" s="53"/>
      <c r="M59" s="53"/>
      <c r="N59" s="68"/>
      <c r="O59" s="106"/>
      <c r="P59" s="106"/>
      <c r="Q59" s="68"/>
      <c r="R59" s="68"/>
      <c r="S59" s="53"/>
      <c r="T59" s="53"/>
      <c r="U59" s="53"/>
      <c r="V59" s="53"/>
      <c r="W59" s="53"/>
      <c r="X59" s="53"/>
      <c r="Y59" s="53"/>
      <c r="Z59" s="117"/>
    </row>
    <row r="60" spans="1:26" x14ac:dyDescent="0.2">
      <c r="A60" s="64"/>
      <c r="B60" s="119"/>
      <c r="C60" s="119"/>
      <c r="D60" s="119"/>
      <c r="E60" s="119"/>
      <c r="F60" s="119"/>
      <c r="G60" s="119"/>
      <c r="H60" s="119"/>
      <c r="I60" s="131"/>
      <c r="J60" s="68"/>
      <c r="K60" s="53"/>
      <c r="L60" s="53"/>
      <c r="M60" s="53"/>
      <c r="N60" s="68"/>
      <c r="O60" s="106"/>
      <c r="P60" s="106"/>
      <c r="Q60" s="68"/>
      <c r="R60" s="68"/>
      <c r="S60" s="53"/>
      <c r="T60" s="53"/>
      <c r="U60" s="53"/>
      <c r="V60" s="53"/>
      <c r="W60" s="53"/>
      <c r="X60" s="53"/>
      <c r="Y60" s="53"/>
      <c r="Z60" s="117"/>
    </row>
    <row r="61" spans="1:26" x14ac:dyDescent="0.2">
      <c r="A61" s="64"/>
      <c r="B61" s="119"/>
      <c r="C61" s="119"/>
      <c r="D61" s="119"/>
      <c r="E61" s="119"/>
      <c r="F61" s="119"/>
      <c r="G61" s="119"/>
      <c r="H61" s="119"/>
      <c r="I61" s="131"/>
      <c r="J61" s="106" t="s">
        <v>418</v>
      </c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117"/>
    </row>
    <row r="62" spans="1:26" x14ac:dyDescent="0.2">
      <c r="A62" s="64"/>
      <c r="B62" s="119"/>
      <c r="C62" s="119"/>
      <c r="D62" s="119"/>
      <c r="E62" s="119"/>
      <c r="F62" s="119"/>
      <c r="G62" s="119"/>
      <c r="H62" s="119"/>
      <c r="I62" s="131"/>
      <c r="J62" s="219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117"/>
    </row>
    <row r="63" spans="1:26" x14ac:dyDescent="0.2">
      <c r="A63" s="43" t="s">
        <v>95</v>
      </c>
      <c r="B63" s="44"/>
      <c r="C63" s="45" t="str">
        <f>CONCATENATE(画面構成!G4, "A", "04")</f>
        <v>BEN016A04</v>
      </c>
      <c r="D63" s="46"/>
      <c r="E63" s="99"/>
      <c r="F63" s="100" t="s">
        <v>89</v>
      </c>
      <c r="G63" s="10"/>
      <c r="H63" s="11" t="s">
        <v>163</v>
      </c>
      <c r="I63" s="11"/>
      <c r="J63" s="11"/>
      <c r="K63" s="11"/>
      <c r="L63" s="11"/>
      <c r="M63" s="12"/>
      <c r="N63" s="12"/>
      <c r="O63" s="11"/>
      <c r="P63" s="11"/>
      <c r="Q63" s="11"/>
      <c r="R63" s="9" t="s">
        <v>90</v>
      </c>
      <c r="S63" s="100"/>
      <c r="T63" s="10"/>
      <c r="U63" s="11" t="s">
        <v>341</v>
      </c>
      <c r="V63" s="11"/>
      <c r="W63" s="11"/>
      <c r="X63" s="11"/>
      <c r="Y63" s="11"/>
      <c r="Z63" s="13"/>
    </row>
    <row r="64" spans="1:26" x14ac:dyDescent="0.2">
      <c r="A64" s="101" t="s">
        <v>92</v>
      </c>
      <c r="B64" s="102"/>
      <c r="C64" s="102"/>
      <c r="D64" s="102"/>
      <c r="E64" s="102"/>
      <c r="F64" s="102"/>
      <c r="G64" s="102"/>
      <c r="H64" s="102"/>
      <c r="I64" s="103"/>
      <c r="J64" s="104" t="s">
        <v>93</v>
      </c>
      <c r="K64" s="104"/>
      <c r="L64" s="104"/>
      <c r="M64" s="102"/>
      <c r="N64" s="102"/>
      <c r="O64" s="347"/>
      <c r="P64" s="347"/>
      <c r="Q64" s="347"/>
      <c r="R64" s="104"/>
      <c r="S64" s="104"/>
      <c r="T64" s="104"/>
      <c r="U64" s="104"/>
      <c r="V64" s="104"/>
      <c r="W64" s="104"/>
      <c r="X64" s="104"/>
      <c r="Y64" s="104"/>
      <c r="Z64" s="103"/>
    </row>
    <row r="65" spans="1:26" x14ac:dyDescent="0.2">
      <c r="A65" s="105" t="s">
        <v>439</v>
      </c>
      <c r="B65" s="106"/>
      <c r="C65" s="106"/>
      <c r="D65" s="106"/>
      <c r="E65" s="106"/>
      <c r="F65" s="106"/>
      <c r="G65" s="106"/>
      <c r="H65" s="106"/>
      <c r="I65" s="107"/>
      <c r="J65" s="108" t="s">
        <v>421</v>
      </c>
      <c r="K65" s="109"/>
      <c r="L65" s="110"/>
      <c r="M65" s="111"/>
      <c r="N65" s="111"/>
      <c r="O65" s="109"/>
      <c r="P65" s="109"/>
      <c r="Q65" s="109"/>
      <c r="R65" s="112"/>
      <c r="S65" s="112"/>
      <c r="T65" s="112"/>
      <c r="U65" s="112"/>
      <c r="V65" s="112"/>
      <c r="W65" s="112"/>
      <c r="X65" s="112"/>
      <c r="Y65" s="112"/>
      <c r="Z65" s="113"/>
    </row>
    <row r="66" spans="1:26" x14ac:dyDescent="0.2">
      <c r="A66" s="253" t="s">
        <v>440</v>
      </c>
      <c r="B66" s="106" t="s">
        <v>438</v>
      </c>
      <c r="C66" s="106"/>
      <c r="D66" s="106"/>
      <c r="E66" s="106"/>
      <c r="F66" s="106"/>
      <c r="G66" s="106"/>
      <c r="H66" s="106"/>
      <c r="I66" s="107"/>
      <c r="J66" s="114"/>
      <c r="K66" s="68"/>
      <c r="L66" s="118"/>
      <c r="M66" s="115"/>
      <c r="N66" s="115"/>
      <c r="O66" s="68"/>
      <c r="P66" s="68"/>
      <c r="Q66" s="68"/>
      <c r="R66" s="220"/>
      <c r="S66" s="220"/>
      <c r="T66" s="220"/>
      <c r="U66" s="220"/>
      <c r="V66" s="220"/>
      <c r="W66" s="220"/>
      <c r="X66" s="220"/>
      <c r="Y66" s="220"/>
      <c r="Z66" s="117"/>
    </row>
    <row r="67" spans="1:26" x14ac:dyDescent="0.2">
      <c r="A67" s="253" t="s">
        <v>441</v>
      </c>
      <c r="B67" s="106" t="s">
        <v>436</v>
      </c>
      <c r="C67" s="106"/>
      <c r="D67" s="106"/>
      <c r="E67" s="106"/>
      <c r="F67" s="106"/>
      <c r="G67" s="106"/>
      <c r="H67" s="106"/>
      <c r="I67" s="107"/>
      <c r="J67" s="114" t="s">
        <v>420</v>
      </c>
      <c r="K67" s="68"/>
      <c r="L67" s="118"/>
      <c r="M67" s="115"/>
      <c r="N67" s="115"/>
      <c r="O67" s="68"/>
      <c r="P67" s="68"/>
      <c r="Q67" s="68"/>
      <c r="R67" s="220"/>
      <c r="S67" s="220"/>
      <c r="T67" s="220"/>
      <c r="U67" s="220"/>
      <c r="V67" s="220"/>
      <c r="W67" s="220"/>
      <c r="X67" s="220"/>
      <c r="Y67" s="220"/>
      <c r="Z67" s="117"/>
    </row>
    <row r="68" spans="1:26" x14ac:dyDescent="0.2">
      <c r="A68" s="253" t="s">
        <v>442</v>
      </c>
      <c r="B68" s="106" t="s">
        <v>437</v>
      </c>
      <c r="C68" s="106"/>
      <c r="D68" s="106"/>
      <c r="E68" s="106"/>
      <c r="F68" s="106"/>
      <c r="G68" s="106"/>
      <c r="H68" s="106"/>
      <c r="I68" s="107"/>
      <c r="J68" s="114"/>
      <c r="K68" s="68"/>
      <c r="L68" s="118"/>
      <c r="M68" s="115"/>
      <c r="N68" s="115"/>
      <c r="O68" s="68"/>
      <c r="P68" s="68"/>
      <c r="Q68" s="68"/>
      <c r="R68" s="220"/>
      <c r="S68" s="220"/>
      <c r="T68" s="220"/>
      <c r="U68" s="220"/>
      <c r="V68" s="220"/>
      <c r="W68" s="220"/>
      <c r="X68" s="220"/>
      <c r="Y68" s="220"/>
      <c r="Z68" s="117"/>
    </row>
    <row r="69" spans="1:26" x14ac:dyDescent="0.2">
      <c r="A69" s="105"/>
      <c r="B69" s="106"/>
      <c r="C69" s="106"/>
      <c r="D69" s="106"/>
      <c r="E69" s="106"/>
      <c r="F69" s="106"/>
      <c r="G69" s="106"/>
      <c r="H69" s="106"/>
      <c r="I69" s="107"/>
      <c r="J69" s="114" t="s">
        <v>422</v>
      </c>
      <c r="K69" s="219"/>
      <c r="L69" s="219"/>
      <c r="M69" s="115"/>
      <c r="N69" s="115"/>
      <c r="O69" s="68"/>
      <c r="P69" s="68"/>
      <c r="Q69" s="68"/>
      <c r="R69" s="220"/>
      <c r="S69" s="220"/>
      <c r="T69" s="220"/>
      <c r="U69" s="220"/>
      <c r="V69" s="220"/>
      <c r="W69" s="220"/>
      <c r="X69" s="220"/>
      <c r="Y69" s="220"/>
      <c r="Z69" s="117"/>
    </row>
    <row r="70" spans="1:26" x14ac:dyDescent="0.2">
      <c r="A70" s="105"/>
      <c r="B70" s="106"/>
      <c r="C70" s="106"/>
      <c r="D70" s="106"/>
      <c r="E70" s="106"/>
      <c r="F70" s="106"/>
      <c r="G70" s="106"/>
      <c r="H70" s="106"/>
      <c r="I70" s="107"/>
      <c r="J70" s="68"/>
      <c r="K70" s="219" t="s">
        <v>406</v>
      </c>
      <c r="L70" s="219"/>
      <c r="M70" s="68" t="s">
        <v>460</v>
      </c>
      <c r="N70" s="115"/>
      <c r="O70" s="68"/>
      <c r="P70" s="68"/>
      <c r="Q70" s="68"/>
      <c r="R70" s="220"/>
      <c r="S70" s="220"/>
      <c r="T70" s="220"/>
      <c r="U70" s="220"/>
      <c r="V70" s="220"/>
      <c r="W70" s="220"/>
      <c r="X70" s="220"/>
      <c r="Y70" s="220"/>
      <c r="Z70" s="117"/>
    </row>
    <row r="71" spans="1:26" x14ac:dyDescent="0.2">
      <c r="A71" s="105"/>
      <c r="B71" s="106"/>
      <c r="C71" s="106"/>
      <c r="D71" s="106"/>
      <c r="E71" s="106"/>
      <c r="F71" s="106"/>
      <c r="G71" s="106"/>
      <c r="H71" s="106"/>
      <c r="I71" s="107"/>
      <c r="J71" s="68"/>
      <c r="K71" s="219"/>
      <c r="L71" s="219"/>
      <c r="M71" s="68" t="s">
        <v>452</v>
      </c>
      <c r="N71" s="115"/>
      <c r="O71" s="68"/>
      <c r="P71" s="68"/>
      <c r="Q71" s="68"/>
      <c r="R71" s="220"/>
      <c r="S71" s="220"/>
      <c r="T71" s="220"/>
      <c r="U71" s="220"/>
      <c r="V71" s="220"/>
      <c r="W71" s="220"/>
      <c r="X71" s="220"/>
      <c r="Y71" s="220"/>
      <c r="Z71" s="117"/>
    </row>
    <row r="72" spans="1:26" x14ac:dyDescent="0.2">
      <c r="A72" s="105"/>
      <c r="B72" s="106"/>
      <c r="C72" s="106"/>
      <c r="D72" s="106"/>
      <c r="E72" s="106"/>
      <c r="F72" s="106"/>
      <c r="G72" s="106"/>
      <c r="H72" s="106"/>
      <c r="I72" s="107"/>
      <c r="J72" s="68"/>
      <c r="K72" s="219"/>
      <c r="L72" s="219"/>
      <c r="M72" s="68" t="s">
        <v>407</v>
      </c>
      <c r="N72" s="115"/>
      <c r="O72" s="68"/>
      <c r="P72" s="68"/>
      <c r="Q72" s="68"/>
      <c r="R72" s="220"/>
      <c r="S72" s="220"/>
      <c r="T72" s="220"/>
      <c r="U72" s="220"/>
      <c r="V72" s="220"/>
      <c r="W72" s="220"/>
      <c r="X72" s="220"/>
      <c r="Y72" s="220"/>
      <c r="Z72" s="117"/>
    </row>
    <row r="73" spans="1:26" x14ac:dyDescent="0.2">
      <c r="A73" s="105"/>
      <c r="B73" s="106"/>
      <c r="C73" s="106"/>
      <c r="D73" s="106"/>
      <c r="E73" s="106"/>
      <c r="F73" s="106"/>
      <c r="G73" s="106"/>
      <c r="H73" s="106"/>
      <c r="I73" s="107"/>
      <c r="J73" s="68"/>
      <c r="K73" s="219"/>
      <c r="L73" s="219"/>
      <c r="M73" s="68" t="s">
        <v>453</v>
      </c>
      <c r="N73" s="115"/>
      <c r="O73" s="68"/>
      <c r="P73" s="68"/>
      <c r="Q73" s="68"/>
      <c r="R73" s="220"/>
      <c r="S73" s="220"/>
      <c r="T73" s="220"/>
      <c r="U73" s="220"/>
      <c r="V73" s="220"/>
      <c r="W73" s="220"/>
      <c r="X73" s="220"/>
      <c r="Y73" s="220"/>
      <c r="Z73" s="117"/>
    </row>
    <row r="74" spans="1:26" x14ac:dyDescent="0.2">
      <c r="A74" s="105"/>
      <c r="B74" s="106"/>
      <c r="C74" s="106"/>
      <c r="D74" s="106"/>
      <c r="E74" s="106"/>
      <c r="F74" s="106"/>
      <c r="G74" s="106"/>
      <c r="H74" s="106"/>
      <c r="I74" s="107"/>
      <c r="J74" s="68"/>
      <c r="K74" s="219"/>
      <c r="L74" s="219"/>
      <c r="M74" s="68" t="s">
        <v>454</v>
      </c>
      <c r="N74" s="115"/>
      <c r="O74" s="68"/>
      <c r="P74" s="68"/>
      <c r="Q74" s="68"/>
      <c r="R74" s="220"/>
      <c r="S74" s="220"/>
      <c r="T74" s="220"/>
      <c r="U74" s="220"/>
      <c r="V74" s="220"/>
      <c r="W74" s="220"/>
      <c r="X74" s="220"/>
      <c r="Y74" s="220"/>
      <c r="Z74" s="117"/>
    </row>
    <row r="75" spans="1:26" x14ac:dyDescent="0.2">
      <c r="A75" s="105"/>
      <c r="B75" s="106"/>
      <c r="C75" s="106"/>
      <c r="D75" s="106"/>
      <c r="E75" s="106"/>
      <c r="F75" s="106"/>
      <c r="G75" s="106"/>
      <c r="H75" s="106"/>
      <c r="I75" s="107"/>
      <c r="J75" s="68"/>
      <c r="K75" s="219"/>
      <c r="L75" s="219"/>
      <c r="M75" s="68" t="s">
        <v>455</v>
      </c>
      <c r="N75" s="115"/>
      <c r="O75" s="68"/>
      <c r="P75" s="68"/>
      <c r="Q75" s="68"/>
      <c r="R75" s="220"/>
      <c r="S75" s="220"/>
      <c r="T75" s="220"/>
      <c r="U75" s="220"/>
      <c r="V75" s="220"/>
      <c r="W75" s="220"/>
      <c r="X75" s="220"/>
      <c r="Y75" s="220"/>
      <c r="Z75" s="117"/>
    </row>
    <row r="76" spans="1:26" x14ac:dyDescent="0.2">
      <c r="A76" s="105"/>
      <c r="B76" s="106"/>
      <c r="C76" s="106"/>
      <c r="D76" s="106"/>
      <c r="E76" s="106"/>
      <c r="F76" s="106"/>
      <c r="G76" s="106"/>
      <c r="H76" s="106"/>
      <c r="I76" s="107"/>
      <c r="J76" s="68"/>
      <c r="K76" s="219"/>
      <c r="L76" s="219"/>
      <c r="M76" s="68"/>
      <c r="N76" s="115"/>
      <c r="O76" s="68"/>
      <c r="P76" s="68"/>
      <c r="Q76" s="68"/>
      <c r="R76" s="220"/>
      <c r="S76" s="220"/>
      <c r="T76" s="220"/>
      <c r="U76" s="220"/>
      <c r="V76" s="220"/>
      <c r="W76" s="220"/>
      <c r="X76" s="220"/>
      <c r="Y76" s="220"/>
      <c r="Z76" s="117"/>
    </row>
    <row r="77" spans="1:26" x14ac:dyDescent="0.2">
      <c r="A77" s="105"/>
      <c r="B77" s="106"/>
      <c r="C77" s="106"/>
      <c r="D77" s="106"/>
      <c r="E77" s="106"/>
      <c r="F77" s="106"/>
      <c r="G77" s="106"/>
      <c r="H77" s="106"/>
      <c r="I77" s="107"/>
      <c r="J77" s="68"/>
      <c r="K77" s="219" t="s">
        <v>423</v>
      </c>
      <c r="L77" s="219" t="s">
        <v>398</v>
      </c>
      <c r="M77" s="115"/>
      <c r="N77" s="115"/>
      <c r="O77" s="68"/>
      <c r="P77" s="68"/>
      <c r="Q77" s="68"/>
      <c r="R77" s="220"/>
      <c r="S77" s="220"/>
      <c r="T77" s="220"/>
      <c r="U77" s="220"/>
      <c r="V77" s="220"/>
      <c r="W77" s="220"/>
      <c r="X77" s="220"/>
      <c r="Y77" s="220"/>
      <c r="Z77" s="117"/>
    </row>
    <row r="78" spans="1:26" x14ac:dyDescent="0.2">
      <c r="A78" s="105"/>
      <c r="B78" s="106"/>
      <c r="C78" s="106"/>
      <c r="D78" s="106"/>
      <c r="E78" s="106"/>
      <c r="F78" s="106"/>
      <c r="G78" s="106"/>
      <c r="H78" s="106"/>
      <c r="I78" s="107"/>
      <c r="J78" s="68"/>
      <c r="K78" s="219" t="s">
        <v>424</v>
      </c>
      <c r="L78" s="219" t="s">
        <v>430</v>
      </c>
      <c r="M78" s="115"/>
      <c r="N78" s="115"/>
      <c r="O78" s="68"/>
      <c r="P78" s="68"/>
      <c r="Q78" s="68"/>
      <c r="R78" s="220"/>
      <c r="S78" s="220"/>
      <c r="T78" s="220"/>
      <c r="U78" s="220"/>
      <c r="V78" s="220"/>
      <c r="W78" s="220"/>
      <c r="X78" s="220"/>
      <c r="Y78" s="220"/>
      <c r="Z78" s="117"/>
    </row>
    <row r="79" spans="1:26" x14ac:dyDescent="0.2">
      <c r="A79" s="105"/>
      <c r="B79" s="106"/>
      <c r="C79" s="106"/>
      <c r="D79" s="106"/>
      <c r="E79" s="106"/>
      <c r="F79" s="106"/>
      <c r="G79" s="106"/>
      <c r="H79" s="106"/>
      <c r="I79" s="107"/>
      <c r="J79" s="68"/>
      <c r="K79" s="219"/>
      <c r="L79" s="219" t="s">
        <v>399</v>
      </c>
      <c r="M79" s="115"/>
      <c r="N79" s="115"/>
      <c r="O79" s="68"/>
      <c r="P79" s="68"/>
      <c r="Q79" s="68"/>
      <c r="R79" s="220"/>
      <c r="S79" s="220"/>
      <c r="T79" s="220"/>
      <c r="U79" s="220"/>
      <c r="V79" s="220"/>
      <c r="W79" s="220"/>
      <c r="X79" s="220"/>
      <c r="Y79" s="220"/>
      <c r="Z79" s="117"/>
    </row>
    <row r="80" spans="1:26" x14ac:dyDescent="0.2">
      <c r="A80" s="105"/>
      <c r="B80" s="106"/>
      <c r="C80" s="106"/>
      <c r="D80" s="106"/>
      <c r="E80" s="106"/>
      <c r="F80" s="106"/>
      <c r="G80" s="106"/>
      <c r="H80" s="106"/>
      <c r="I80" s="107"/>
      <c r="J80" s="68"/>
      <c r="K80" s="219"/>
      <c r="L80" s="219" t="s">
        <v>400</v>
      </c>
      <c r="M80" s="115"/>
      <c r="N80" s="115"/>
      <c r="O80" s="68"/>
      <c r="P80" s="68"/>
      <c r="Q80" s="68"/>
      <c r="R80" s="220"/>
      <c r="S80" s="220"/>
      <c r="T80" s="220"/>
      <c r="U80" s="220"/>
      <c r="V80" s="220"/>
      <c r="W80" s="220"/>
      <c r="X80" s="220"/>
      <c r="Y80" s="220"/>
      <c r="Z80" s="117"/>
    </row>
    <row r="81" spans="1:26" x14ac:dyDescent="0.2">
      <c r="A81" s="105"/>
      <c r="B81" s="106"/>
      <c r="C81" s="106"/>
      <c r="D81" s="106"/>
      <c r="E81" s="106"/>
      <c r="F81" s="106"/>
      <c r="G81" s="106"/>
      <c r="H81" s="106"/>
      <c r="I81" s="107"/>
      <c r="J81" s="68"/>
      <c r="K81" s="219"/>
      <c r="L81" s="219" t="s">
        <v>401</v>
      </c>
      <c r="M81" s="115"/>
      <c r="N81" s="115"/>
      <c r="O81" s="68"/>
      <c r="P81" s="68"/>
      <c r="Q81" s="68"/>
      <c r="R81" s="220"/>
      <c r="S81" s="220"/>
      <c r="T81" s="220"/>
      <c r="U81" s="220"/>
      <c r="V81" s="220"/>
      <c r="W81" s="220"/>
      <c r="X81" s="220"/>
      <c r="Y81" s="220"/>
      <c r="Z81" s="117"/>
    </row>
    <row r="82" spans="1:26" x14ac:dyDescent="0.2">
      <c r="A82" s="105"/>
      <c r="B82" s="106"/>
      <c r="C82" s="106"/>
      <c r="D82" s="106"/>
      <c r="E82" s="106"/>
      <c r="F82" s="106"/>
      <c r="G82" s="106"/>
      <c r="H82" s="106"/>
      <c r="I82" s="107"/>
      <c r="J82" s="68"/>
      <c r="K82" s="219" t="s">
        <v>425</v>
      </c>
      <c r="L82" s="219" t="s">
        <v>431</v>
      </c>
      <c r="M82" s="115"/>
      <c r="N82" s="115"/>
      <c r="O82" s="68"/>
      <c r="P82" s="68"/>
      <c r="Q82" s="68"/>
      <c r="R82" s="220"/>
      <c r="S82" s="220"/>
      <c r="T82" s="220"/>
      <c r="U82" s="220"/>
      <c r="V82" s="220"/>
      <c r="W82" s="220"/>
      <c r="X82" s="220"/>
      <c r="Y82" s="220"/>
      <c r="Z82" s="117"/>
    </row>
    <row r="83" spans="1:26" x14ac:dyDescent="0.2">
      <c r="A83" s="101" t="s">
        <v>94</v>
      </c>
      <c r="B83" s="102"/>
      <c r="C83" s="102"/>
      <c r="D83" s="104"/>
      <c r="E83" s="104"/>
      <c r="F83" s="104"/>
      <c r="G83" s="104"/>
      <c r="H83" s="104"/>
      <c r="I83" s="103"/>
      <c r="J83" s="68"/>
      <c r="K83" s="219" t="s">
        <v>426</v>
      </c>
      <c r="L83" s="219" t="s">
        <v>456</v>
      </c>
      <c r="M83" s="115"/>
      <c r="N83" s="115"/>
      <c r="O83" s="68"/>
      <c r="P83" s="68"/>
      <c r="Q83" s="68"/>
      <c r="R83" s="220"/>
      <c r="S83" s="220"/>
      <c r="T83" s="220"/>
      <c r="U83" s="220"/>
      <c r="V83" s="220"/>
      <c r="W83" s="220"/>
      <c r="X83" s="220"/>
      <c r="Y83" s="220"/>
      <c r="Z83" s="117"/>
    </row>
    <row r="84" spans="1:26" x14ac:dyDescent="0.2">
      <c r="A84" s="64" t="s">
        <v>403</v>
      </c>
      <c r="B84" s="119"/>
      <c r="C84" s="119"/>
      <c r="D84" s="119"/>
      <c r="E84" s="119"/>
      <c r="F84" s="119"/>
      <c r="G84" s="119"/>
      <c r="H84" s="119"/>
      <c r="I84" s="131"/>
      <c r="J84" s="68"/>
      <c r="K84" s="219" t="s">
        <v>427</v>
      </c>
      <c r="L84" s="219" t="s">
        <v>433</v>
      </c>
      <c r="M84" s="115"/>
      <c r="N84" s="115"/>
      <c r="O84" s="68"/>
      <c r="P84" s="68"/>
      <c r="Q84" s="68"/>
      <c r="R84" s="220"/>
      <c r="S84" s="220"/>
      <c r="T84" s="220"/>
      <c r="U84" s="220"/>
      <c r="V84" s="220"/>
      <c r="W84" s="220"/>
      <c r="X84" s="220"/>
      <c r="Y84" s="220"/>
      <c r="Z84" s="117"/>
    </row>
    <row r="85" spans="1:26" x14ac:dyDescent="0.2">
      <c r="A85" s="64"/>
      <c r="B85" s="119"/>
      <c r="C85" s="119"/>
      <c r="D85" s="119"/>
      <c r="E85" s="119"/>
      <c r="F85" s="119"/>
      <c r="G85" s="119"/>
      <c r="H85" s="119"/>
      <c r="I85" s="131"/>
      <c r="J85" s="68"/>
      <c r="K85" s="219" t="s">
        <v>428</v>
      </c>
      <c r="L85" s="219" t="s">
        <v>432</v>
      </c>
      <c r="M85" s="115"/>
      <c r="N85" s="115"/>
      <c r="O85" s="68"/>
      <c r="P85" s="68"/>
      <c r="Q85" s="68"/>
      <c r="R85" s="220"/>
      <c r="S85" s="220"/>
      <c r="T85" s="220"/>
      <c r="U85" s="220"/>
      <c r="V85" s="220"/>
      <c r="W85" s="220"/>
      <c r="X85" s="220"/>
      <c r="Y85" s="220"/>
      <c r="Z85" s="117"/>
    </row>
    <row r="86" spans="1:26" x14ac:dyDescent="0.2">
      <c r="A86" s="64"/>
      <c r="B86" s="119"/>
      <c r="C86" s="119"/>
      <c r="D86" s="119"/>
      <c r="E86" s="119"/>
      <c r="F86" s="119"/>
      <c r="G86" s="119"/>
      <c r="H86" s="119"/>
      <c r="I86" s="131"/>
      <c r="J86" s="68"/>
      <c r="K86" s="219"/>
      <c r="L86" s="219" t="s">
        <v>402</v>
      </c>
      <c r="M86" s="115"/>
      <c r="N86" s="115"/>
      <c r="O86" s="68"/>
      <c r="P86" s="68"/>
      <c r="Q86" s="68"/>
      <c r="R86" s="220"/>
      <c r="S86" s="220"/>
      <c r="T86" s="220"/>
      <c r="U86" s="220"/>
      <c r="V86" s="220"/>
      <c r="W86" s="220"/>
      <c r="X86" s="220"/>
      <c r="Y86" s="220"/>
      <c r="Z86" s="117"/>
    </row>
    <row r="87" spans="1:26" x14ac:dyDescent="0.2">
      <c r="A87" s="64"/>
      <c r="B87" s="119"/>
      <c r="C87" s="119"/>
      <c r="D87" s="119"/>
      <c r="E87" s="119"/>
      <c r="F87" s="119"/>
      <c r="G87" s="119"/>
      <c r="H87" s="119"/>
      <c r="I87" s="131"/>
      <c r="J87" s="68"/>
      <c r="K87" s="219"/>
      <c r="L87" s="219" t="s">
        <v>400</v>
      </c>
      <c r="M87" s="115"/>
      <c r="N87" s="115"/>
      <c r="O87" s="68"/>
      <c r="P87" s="68"/>
      <c r="Q87" s="68"/>
      <c r="R87" s="220"/>
      <c r="S87" s="220"/>
      <c r="T87" s="220"/>
      <c r="U87" s="220"/>
      <c r="V87" s="220"/>
      <c r="W87" s="220"/>
      <c r="X87" s="220"/>
      <c r="Y87" s="220"/>
      <c r="Z87" s="117"/>
    </row>
    <row r="88" spans="1:26" x14ac:dyDescent="0.2">
      <c r="A88" s="64"/>
      <c r="B88" s="119"/>
      <c r="C88" s="119"/>
      <c r="D88" s="119"/>
      <c r="E88" s="119"/>
      <c r="F88" s="119"/>
      <c r="G88" s="119"/>
      <c r="H88" s="119"/>
      <c r="I88" s="131"/>
      <c r="J88" s="68"/>
      <c r="K88" s="219"/>
      <c r="L88" s="219" t="s">
        <v>401</v>
      </c>
      <c r="M88" s="115"/>
      <c r="N88" s="115"/>
      <c r="O88" s="68"/>
      <c r="P88" s="68"/>
      <c r="Q88" s="68"/>
      <c r="R88" s="220"/>
      <c r="S88" s="220"/>
      <c r="T88" s="220"/>
      <c r="U88" s="220"/>
      <c r="V88" s="220"/>
      <c r="W88" s="220"/>
      <c r="X88" s="220"/>
      <c r="Y88" s="220"/>
      <c r="Z88" s="117"/>
    </row>
    <row r="89" spans="1:26" x14ac:dyDescent="0.2">
      <c r="A89" s="64"/>
      <c r="B89" s="119"/>
      <c r="C89" s="119"/>
      <c r="D89" s="119"/>
      <c r="E89" s="119"/>
      <c r="F89" s="119"/>
      <c r="G89" s="119"/>
      <c r="H89" s="119"/>
      <c r="I89" s="131"/>
      <c r="J89" s="68"/>
      <c r="K89" s="219" t="s">
        <v>429</v>
      </c>
      <c r="L89" s="219" t="s">
        <v>457</v>
      </c>
      <c r="M89" s="115"/>
      <c r="N89" s="115"/>
      <c r="O89" s="68"/>
      <c r="P89" s="68"/>
      <c r="Q89" s="68"/>
      <c r="R89" s="220"/>
      <c r="S89" s="220"/>
      <c r="T89" s="220"/>
      <c r="U89" s="220"/>
      <c r="V89" s="220"/>
      <c r="W89" s="220"/>
      <c r="X89" s="220"/>
      <c r="Y89" s="220"/>
      <c r="Z89" s="117"/>
    </row>
    <row r="90" spans="1:26" x14ac:dyDescent="0.2">
      <c r="A90" s="64"/>
      <c r="B90" s="119"/>
      <c r="C90" s="119"/>
      <c r="D90" s="119"/>
      <c r="E90" s="119"/>
      <c r="F90" s="119"/>
      <c r="G90" s="119"/>
      <c r="H90" s="119"/>
      <c r="I90" s="131"/>
      <c r="J90" s="68"/>
      <c r="K90" s="219"/>
      <c r="L90" s="219"/>
      <c r="M90" s="115"/>
      <c r="N90" s="115"/>
      <c r="O90" s="68"/>
      <c r="P90" s="68"/>
      <c r="Q90" s="68"/>
      <c r="R90" s="220"/>
      <c r="S90" s="220"/>
      <c r="T90" s="220"/>
      <c r="U90" s="220"/>
      <c r="V90" s="220"/>
      <c r="W90" s="220"/>
      <c r="X90" s="220"/>
      <c r="Y90" s="220"/>
      <c r="Z90" s="117"/>
    </row>
    <row r="91" spans="1:26" x14ac:dyDescent="0.2">
      <c r="A91" s="64"/>
      <c r="B91" s="119"/>
      <c r="C91" s="119"/>
      <c r="D91" s="119"/>
      <c r="E91" s="119"/>
      <c r="F91" s="119"/>
      <c r="G91" s="119"/>
      <c r="H91" s="119"/>
      <c r="I91" s="131"/>
      <c r="J91" s="106" t="s">
        <v>435</v>
      </c>
      <c r="K91" s="219"/>
      <c r="M91" s="106"/>
      <c r="N91" s="115"/>
      <c r="O91" s="68"/>
      <c r="P91" s="68"/>
      <c r="Q91" s="68"/>
      <c r="R91" s="220"/>
      <c r="S91" s="220"/>
      <c r="T91" s="220"/>
      <c r="U91" s="220"/>
      <c r="V91" s="220"/>
      <c r="W91" s="220"/>
      <c r="X91" s="220"/>
      <c r="Y91" s="220"/>
      <c r="Z91" s="117"/>
    </row>
    <row r="92" spans="1:26" x14ac:dyDescent="0.2">
      <c r="A92" s="64"/>
      <c r="B92" s="119"/>
      <c r="C92" s="119"/>
      <c r="D92" s="119"/>
      <c r="E92" s="119"/>
      <c r="F92" s="119"/>
      <c r="G92" s="119"/>
      <c r="H92" s="119"/>
      <c r="I92" s="131"/>
      <c r="J92" s="106"/>
      <c r="K92" s="219"/>
      <c r="L92" s="106"/>
      <c r="M92" s="115"/>
      <c r="N92" s="115"/>
      <c r="O92" s="68"/>
      <c r="P92" s="68"/>
      <c r="Q92" s="68"/>
      <c r="R92" s="220"/>
      <c r="S92" s="220"/>
      <c r="T92" s="220"/>
      <c r="U92" s="220"/>
      <c r="V92" s="220"/>
      <c r="W92" s="220"/>
      <c r="X92" s="220"/>
      <c r="Y92" s="220"/>
      <c r="Z92" s="117"/>
    </row>
    <row r="93" spans="1:26" x14ac:dyDescent="0.2">
      <c r="A93" s="64"/>
      <c r="B93" s="119"/>
      <c r="C93" s="119"/>
      <c r="D93" s="119"/>
      <c r="E93" s="119"/>
      <c r="F93" s="119"/>
      <c r="G93" s="119"/>
      <c r="H93" s="119"/>
      <c r="I93" s="131"/>
      <c r="J93" s="106" t="s">
        <v>434</v>
      </c>
      <c r="K93" s="219"/>
      <c r="M93" s="106"/>
      <c r="N93" s="115"/>
      <c r="O93" s="68"/>
      <c r="P93" s="68"/>
      <c r="Q93" s="68"/>
      <c r="R93" s="220"/>
      <c r="S93" s="220"/>
      <c r="T93" s="220"/>
      <c r="U93" s="220"/>
      <c r="V93" s="220"/>
      <c r="W93" s="220"/>
      <c r="X93" s="220"/>
      <c r="Y93" s="220"/>
      <c r="Z93" s="117"/>
    </row>
    <row r="94" spans="1:26" x14ac:dyDescent="0.2">
      <c r="A94" s="64"/>
      <c r="B94" s="119"/>
      <c r="C94" s="119"/>
      <c r="D94" s="119"/>
      <c r="E94" s="119"/>
      <c r="F94" s="119"/>
      <c r="G94" s="119"/>
      <c r="H94" s="119"/>
      <c r="I94" s="131"/>
      <c r="J94" s="106"/>
      <c r="K94" s="219"/>
      <c r="M94" s="106"/>
      <c r="N94" s="115"/>
      <c r="O94" s="68"/>
      <c r="P94" s="68"/>
      <c r="Q94" s="68"/>
      <c r="R94" s="220"/>
      <c r="S94" s="220"/>
      <c r="T94" s="220"/>
      <c r="U94" s="220"/>
      <c r="V94" s="220"/>
      <c r="W94" s="220"/>
      <c r="X94" s="220"/>
      <c r="Y94" s="220"/>
      <c r="Z94" s="117"/>
    </row>
    <row r="95" spans="1:26" x14ac:dyDescent="0.2">
      <c r="A95" s="64"/>
      <c r="B95" s="119"/>
      <c r="C95" s="119"/>
      <c r="D95" s="119"/>
      <c r="E95" s="119"/>
      <c r="F95" s="119"/>
      <c r="G95" s="119"/>
      <c r="H95" s="119"/>
      <c r="I95" s="131"/>
      <c r="J95" s="105"/>
      <c r="K95" s="219"/>
      <c r="L95" s="219"/>
      <c r="M95" s="106"/>
      <c r="N95" s="68"/>
      <c r="O95" s="106"/>
      <c r="P95" s="106"/>
      <c r="Q95" s="68"/>
      <c r="R95" s="68"/>
      <c r="S95" s="53"/>
      <c r="T95" s="53"/>
      <c r="U95" s="53"/>
      <c r="V95" s="53"/>
      <c r="W95" s="53"/>
      <c r="X95" s="53"/>
      <c r="Y95" s="53"/>
      <c r="Z95" s="117"/>
    </row>
    <row r="96" spans="1:26" x14ac:dyDescent="0.2">
      <c r="A96" s="64"/>
      <c r="B96" s="119"/>
      <c r="C96" s="119"/>
      <c r="D96" s="119"/>
      <c r="E96" s="119"/>
      <c r="F96" s="119"/>
      <c r="G96" s="119"/>
      <c r="H96" s="119"/>
      <c r="I96" s="131"/>
      <c r="J96" s="219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117"/>
    </row>
    <row r="97" spans="1:26" x14ac:dyDescent="0.2">
      <c r="A97" s="70" t="s">
        <v>60</v>
      </c>
      <c r="B97" s="71"/>
      <c r="C97" s="72" t="s">
        <v>341</v>
      </c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4"/>
    </row>
    <row r="98" spans="1:26" x14ac:dyDescent="0.2">
      <c r="A98" s="43" t="s">
        <v>88</v>
      </c>
      <c r="B98" s="44"/>
      <c r="C98" s="45" t="str">
        <f>CONCATENATE(画面構成!G4, "A", "11")</f>
        <v>BEN016A11</v>
      </c>
      <c r="D98" s="46"/>
      <c r="E98" s="99"/>
      <c r="F98" s="100" t="s">
        <v>89</v>
      </c>
      <c r="G98" s="10"/>
      <c r="H98" t="s">
        <v>246</v>
      </c>
      <c r="I98" s="11"/>
      <c r="J98" s="11"/>
      <c r="K98" s="11"/>
      <c r="L98" s="11"/>
      <c r="M98" s="12"/>
      <c r="N98" s="12"/>
      <c r="O98" s="11"/>
      <c r="P98" s="11"/>
      <c r="Q98" s="11"/>
      <c r="R98" s="9" t="s">
        <v>90</v>
      </c>
      <c r="S98" s="100"/>
      <c r="T98" s="10"/>
      <c r="U98" s="11" t="s">
        <v>91</v>
      </c>
      <c r="V98" s="11"/>
      <c r="W98" s="11"/>
      <c r="X98" s="11"/>
      <c r="Y98" s="11"/>
      <c r="Z98" s="13"/>
    </row>
    <row r="99" spans="1:26" x14ac:dyDescent="0.2">
      <c r="A99" s="101" t="s">
        <v>92</v>
      </c>
      <c r="B99" s="102"/>
      <c r="C99" s="102"/>
      <c r="D99" s="102"/>
      <c r="E99" s="102"/>
      <c r="F99" s="102"/>
      <c r="G99" s="102"/>
      <c r="H99" s="102"/>
      <c r="I99" s="103"/>
      <c r="J99" s="104" t="s">
        <v>93</v>
      </c>
      <c r="K99" s="104"/>
      <c r="L99" s="104"/>
      <c r="M99" s="102"/>
      <c r="N99" s="102"/>
      <c r="O99" s="347"/>
      <c r="P99" s="347"/>
      <c r="Q99" s="347"/>
      <c r="R99" s="104"/>
      <c r="S99" s="104"/>
      <c r="T99" s="104"/>
      <c r="U99" s="104"/>
      <c r="V99" s="104"/>
      <c r="W99" s="104"/>
      <c r="X99" s="104"/>
      <c r="Y99" s="104"/>
      <c r="Z99" s="103"/>
    </row>
    <row r="100" spans="1:26" x14ac:dyDescent="0.2">
      <c r="A100" s="105"/>
      <c r="B100" s="106"/>
      <c r="C100" s="106"/>
      <c r="D100" s="106"/>
      <c r="E100" s="106"/>
      <c r="F100" s="106"/>
      <c r="G100" s="106"/>
      <c r="H100" s="106"/>
      <c r="I100" s="107"/>
      <c r="J100" s="219" t="s">
        <v>395</v>
      </c>
      <c r="K100" s="219"/>
      <c r="L100" s="68"/>
      <c r="M100" s="106"/>
      <c r="N100" s="219"/>
      <c r="O100" s="109"/>
      <c r="P100" s="109"/>
      <c r="Q100" s="109"/>
      <c r="R100" s="112"/>
      <c r="S100" s="112"/>
      <c r="T100" s="112"/>
      <c r="U100" s="112"/>
      <c r="V100" s="112"/>
      <c r="W100" s="112"/>
      <c r="X100" s="112"/>
      <c r="Y100" s="112"/>
      <c r="Z100" s="113"/>
    </row>
    <row r="101" spans="1:26" x14ac:dyDescent="0.2">
      <c r="A101" s="105"/>
      <c r="B101" s="106"/>
      <c r="C101" s="106"/>
      <c r="D101" s="106"/>
      <c r="E101" s="106"/>
      <c r="F101" s="106"/>
      <c r="G101" s="106"/>
      <c r="H101" s="106"/>
      <c r="I101" s="107"/>
      <c r="J101" s="219"/>
      <c r="K101" s="219" t="s">
        <v>367</v>
      </c>
      <c r="L101" s="68" t="s">
        <v>389</v>
      </c>
      <c r="M101" s="219"/>
      <c r="N101" s="53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117"/>
    </row>
    <row r="102" spans="1:26" x14ac:dyDescent="0.2">
      <c r="A102" s="105"/>
      <c r="B102" s="106"/>
      <c r="C102" s="106"/>
      <c r="D102" s="106"/>
      <c r="E102" s="106"/>
      <c r="F102" s="106"/>
      <c r="G102" s="106"/>
      <c r="H102" s="106"/>
      <c r="I102" s="107"/>
      <c r="J102" s="219"/>
      <c r="K102" s="219" t="s">
        <v>368</v>
      </c>
      <c r="L102" s="68" t="s">
        <v>397</v>
      </c>
      <c r="M102" s="119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117"/>
    </row>
    <row r="103" spans="1:26" x14ac:dyDescent="0.2">
      <c r="A103" s="101" t="s">
        <v>94</v>
      </c>
      <c r="B103" s="102"/>
      <c r="C103" s="102"/>
      <c r="D103" s="104"/>
      <c r="E103" s="104"/>
      <c r="F103" s="104"/>
      <c r="G103" s="104"/>
      <c r="H103" s="104"/>
      <c r="I103" s="103"/>
      <c r="J103" s="219"/>
      <c r="K103" s="219"/>
      <c r="L103" s="68" t="s">
        <v>448</v>
      </c>
      <c r="M103" s="119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117"/>
    </row>
    <row r="104" spans="1:26" x14ac:dyDescent="0.2">
      <c r="A104" s="123"/>
      <c r="B104" s="106"/>
      <c r="C104" s="106"/>
      <c r="D104" s="106"/>
      <c r="E104" s="106"/>
      <c r="F104" s="106"/>
      <c r="G104" s="106"/>
      <c r="H104" s="106"/>
      <c r="I104" s="124"/>
      <c r="J104" s="219"/>
      <c r="K104" s="219" t="s">
        <v>396</v>
      </c>
      <c r="L104" s="68" t="s">
        <v>390</v>
      </c>
      <c r="M104" s="119"/>
      <c r="N104" s="68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117"/>
    </row>
    <row r="105" spans="1:26" x14ac:dyDescent="0.2">
      <c r="A105" s="123"/>
      <c r="B105" s="106"/>
      <c r="C105" s="106"/>
      <c r="D105" s="106"/>
      <c r="E105" s="106"/>
      <c r="F105" s="106"/>
      <c r="G105" s="106"/>
      <c r="H105" s="106"/>
      <c r="I105" s="124"/>
      <c r="J105" s="120"/>
      <c r="K105" s="219" t="s">
        <v>370</v>
      </c>
      <c r="L105" s="68" t="s">
        <v>391</v>
      </c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117"/>
    </row>
    <row r="106" spans="1:26" x14ac:dyDescent="0.2">
      <c r="A106" s="125"/>
      <c r="B106" s="126"/>
      <c r="C106" s="126"/>
      <c r="D106" s="126"/>
      <c r="E106" s="126"/>
      <c r="F106" s="126"/>
      <c r="G106" s="126"/>
      <c r="H106" s="126"/>
      <c r="I106" s="127"/>
      <c r="J106" s="128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30"/>
    </row>
    <row r="107" spans="1:26" x14ac:dyDescent="0.2">
      <c r="A107" s="43" t="s">
        <v>95</v>
      </c>
      <c r="B107" s="44"/>
      <c r="C107" s="45" t="str">
        <f>CONCATENATE(画面構成!G4, "A", "12")</f>
        <v>BEN016A12</v>
      </c>
      <c r="D107" s="46"/>
      <c r="E107" s="99"/>
      <c r="F107" s="100" t="s">
        <v>89</v>
      </c>
      <c r="G107" s="10"/>
      <c r="H107" s="11" t="s">
        <v>344</v>
      </c>
      <c r="I107" s="11"/>
      <c r="J107" s="11"/>
      <c r="K107" s="11"/>
      <c r="L107" s="11"/>
      <c r="M107" s="12"/>
      <c r="N107" s="12"/>
      <c r="O107" s="11"/>
      <c r="P107" s="11"/>
      <c r="Q107" s="11"/>
      <c r="R107" s="9" t="s">
        <v>90</v>
      </c>
      <c r="S107" s="100"/>
      <c r="T107" s="10"/>
      <c r="U107" s="11" t="s">
        <v>394</v>
      </c>
      <c r="V107" s="11"/>
      <c r="W107" s="11"/>
      <c r="X107" s="11"/>
      <c r="Y107" s="11"/>
      <c r="Z107" s="13"/>
    </row>
    <row r="108" spans="1:26" x14ac:dyDescent="0.2">
      <c r="A108" s="101" t="s">
        <v>92</v>
      </c>
      <c r="B108" s="102"/>
      <c r="C108" s="102"/>
      <c r="D108" s="102"/>
      <c r="E108" s="102"/>
      <c r="F108" s="102"/>
      <c r="G108" s="102"/>
      <c r="H108" s="102"/>
      <c r="I108" s="103"/>
      <c r="J108" s="104" t="s">
        <v>93</v>
      </c>
      <c r="K108" s="104"/>
      <c r="L108" s="104"/>
      <c r="M108" s="102"/>
      <c r="N108" s="102"/>
      <c r="O108" s="347"/>
      <c r="P108" s="347"/>
      <c r="Q108" s="347"/>
      <c r="R108" s="104"/>
      <c r="S108" s="104"/>
      <c r="T108" s="104"/>
      <c r="U108" s="104"/>
      <c r="V108" s="104"/>
      <c r="W108" s="104"/>
      <c r="X108" s="104"/>
      <c r="Y108" s="104"/>
      <c r="Z108" s="103"/>
    </row>
    <row r="109" spans="1:26" x14ac:dyDescent="0.2">
      <c r="A109" s="105"/>
      <c r="B109" s="106"/>
      <c r="C109" s="106"/>
      <c r="D109" s="106"/>
      <c r="E109" s="106"/>
      <c r="F109" s="106"/>
      <c r="G109" s="106"/>
      <c r="H109" s="106"/>
      <c r="I109" s="107"/>
      <c r="J109" s="108" t="s">
        <v>449</v>
      </c>
      <c r="K109" s="109"/>
      <c r="L109" s="110"/>
      <c r="M109" s="111"/>
      <c r="N109" s="111"/>
      <c r="O109" s="109"/>
      <c r="P109" s="109"/>
      <c r="Q109" s="109"/>
      <c r="R109" s="112"/>
      <c r="S109" s="112"/>
      <c r="T109" s="112"/>
      <c r="U109" s="112"/>
      <c r="V109" s="112"/>
      <c r="W109" s="112"/>
      <c r="X109" s="112"/>
      <c r="Y109" s="112"/>
      <c r="Z109" s="113"/>
    </row>
    <row r="110" spans="1:26" x14ac:dyDescent="0.2">
      <c r="A110" s="105"/>
      <c r="B110" s="106"/>
      <c r="C110" s="106"/>
      <c r="D110" s="106"/>
      <c r="E110" s="106"/>
      <c r="F110" s="106"/>
      <c r="G110" s="106"/>
      <c r="H110" s="106"/>
      <c r="I110" s="107"/>
      <c r="J110" s="114"/>
      <c r="K110" s="68"/>
      <c r="L110" s="118"/>
      <c r="M110" s="115"/>
      <c r="N110" s="115"/>
      <c r="O110" s="68"/>
      <c r="P110" s="68"/>
      <c r="Q110" s="68"/>
      <c r="R110" s="220"/>
      <c r="S110" s="220"/>
      <c r="T110" s="220"/>
      <c r="U110" s="220"/>
      <c r="V110" s="220"/>
      <c r="W110" s="220"/>
      <c r="X110" s="220"/>
      <c r="Y110" s="220"/>
      <c r="Z110" s="117"/>
    </row>
    <row r="111" spans="1:26" x14ac:dyDescent="0.2">
      <c r="A111" s="105"/>
      <c r="B111" s="106"/>
      <c r="C111" s="106"/>
      <c r="D111" s="106"/>
      <c r="E111" s="106"/>
      <c r="F111" s="106"/>
      <c r="G111" s="106"/>
      <c r="H111" s="106"/>
      <c r="I111" s="107"/>
      <c r="J111" s="114" t="s">
        <v>417</v>
      </c>
      <c r="K111" s="219"/>
      <c r="L111" s="219"/>
      <c r="M111" s="115"/>
      <c r="N111" s="115"/>
      <c r="O111" s="68"/>
      <c r="P111" s="68"/>
      <c r="Q111" s="68"/>
      <c r="R111" s="220"/>
      <c r="S111" s="220"/>
      <c r="T111" s="220"/>
      <c r="U111" s="220"/>
      <c r="V111" s="220"/>
      <c r="W111" s="220"/>
      <c r="X111" s="220"/>
      <c r="Y111" s="220"/>
      <c r="Z111" s="117"/>
    </row>
    <row r="112" spans="1:26" x14ac:dyDescent="0.2">
      <c r="A112" s="101" t="s">
        <v>94</v>
      </c>
      <c r="B112" s="102"/>
      <c r="C112" s="102"/>
      <c r="D112" s="104"/>
      <c r="E112" s="104"/>
      <c r="F112" s="104"/>
      <c r="G112" s="104"/>
      <c r="H112" s="104"/>
      <c r="I112" s="103"/>
      <c r="J112" s="105"/>
      <c r="K112" s="219"/>
      <c r="L112" s="219"/>
      <c r="M112" s="106"/>
      <c r="N112" s="68"/>
      <c r="O112" s="106"/>
      <c r="P112" s="106"/>
      <c r="Q112" s="68"/>
      <c r="R112" s="68"/>
      <c r="S112" s="53"/>
      <c r="T112" s="53"/>
      <c r="U112" s="53"/>
      <c r="V112" s="53"/>
      <c r="W112" s="53"/>
      <c r="X112" s="53"/>
      <c r="Y112" s="53"/>
      <c r="Z112" s="117"/>
    </row>
    <row r="113" spans="1:26" x14ac:dyDescent="0.2">
      <c r="A113" s="64" t="s">
        <v>393</v>
      </c>
      <c r="B113" s="119"/>
      <c r="C113" s="119"/>
      <c r="D113" s="119"/>
      <c r="E113" s="119"/>
      <c r="F113" s="119"/>
      <c r="G113" s="119"/>
      <c r="H113" s="119"/>
      <c r="I113" s="131"/>
      <c r="J113" s="106" t="s">
        <v>392</v>
      </c>
      <c r="K113" s="53"/>
      <c r="L113" s="53"/>
      <c r="M113" s="53"/>
      <c r="N113" s="68"/>
      <c r="O113" s="106"/>
      <c r="P113" s="106"/>
      <c r="Q113" s="68"/>
      <c r="R113" s="68"/>
      <c r="S113" s="53"/>
      <c r="T113" s="53"/>
      <c r="U113" s="53"/>
      <c r="V113" s="53"/>
      <c r="W113" s="53"/>
      <c r="X113" s="53"/>
      <c r="Y113" s="53"/>
      <c r="Z113" s="117"/>
    </row>
    <row r="114" spans="1:26" x14ac:dyDescent="0.2">
      <c r="A114" s="64"/>
      <c r="B114" s="119"/>
      <c r="C114" s="119"/>
      <c r="D114" s="119"/>
      <c r="E114" s="119"/>
      <c r="F114" s="119"/>
      <c r="G114" s="119"/>
      <c r="H114" s="119"/>
      <c r="I114" s="131"/>
      <c r="J114" s="68"/>
      <c r="K114" s="53"/>
      <c r="L114" s="53"/>
      <c r="M114" s="53"/>
      <c r="N114" s="68"/>
      <c r="O114" s="106"/>
      <c r="P114" s="106"/>
      <c r="Q114" s="68"/>
      <c r="R114" s="68"/>
      <c r="S114" s="53"/>
      <c r="T114" s="53"/>
      <c r="U114" s="53"/>
      <c r="V114" s="53"/>
      <c r="W114" s="53"/>
      <c r="X114" s="53"/>
      <c r="Y114" s="53"/>
      <c r="Z114" s="117"/>
    </row>
    <row r="115" spans="1:26" x14ac:dyDescent="0.2">
      <c r="A115" s="64"/>
      <c r="B115" s="119"/>
      <c r="C115" s="119"/>
      <c r="D115" s="119"/>
      <c r="E115" s="119"/>
      <c r="F115" s="119"/>
      <c r="G115" s="119"/>
      <c r="H115" s="119"/>
      <c r="I115" s="131"/>
      <c r="J115" s="219" t="s">
        <v>3</v>
      </c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117"/>
    </row>
    <row r="116" spans="1:26" x14ac:dyDescent="0.2">
      <c r="A116" s="64"/>
      <c r="B116" s="119"/>
      <c r="C116" s="119"/>
      <c r="D116" s="119"/>
      <c r="E116" s="119"/>
      <c r="F116" s="119"/>
      <c r="G116" s="119"/>
      <c r="H116" s="119"/>
      <c r="I116" s="131"/>
      <c r="J116" s="219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117"/>
    </row>
    <row r="117" spans="1:26" x14ac:dyDescent="0.2">
      <c r="A117" s="43" t="s">
        <v>95</v>
      </c>
      <c r="B117" s="44"/>
      <c r="C117" s="45" t="str">
        <f>CONCATENATE(画面構成!G4, "A", "13")</f>
        <v>BEN016A13</v>
      </c>
      <c r="D117" s="46"/>
      <c r="E117" s="99"/>
      <c r="F117" s="100" t="s">
        <v>89</v>
      </c>
      <c r="G117" s="10"/>
      <c r="H117" s="11" t="s">
        <v>349</v>
      </c>
      <c r="I117" s="11"/>
      <c r="J117" s="11"/>
      <c r="K117" s="11"/>
      <c r="L117" s="11"/>
      <c r="M117" s="12"/>
      <c r="N117" s="12"/>
      <c r="O117" s="11"/>
      <c r="P117" s="11"/>
      <c r="Q117" s="11"/>
      <c r="R117" s="9" t="s">
        <v>90</v>
      </c>
      <c r="S117" s="100"/>
      <c r="T117" s="10"/>
      <c r="U117" s="11" t="s">
        <v>363</v>
      </c>
      <c r="V117" s="11"/>
      <c r="W117" s="11"/>
      <c r="X117" s="11"/>
      <c r="Y117" s="11"/>
      <c r="Z117" s="13"/>
    </row>
    <row r="118" spans="1:26" x14ac:dyDescent="0.2">
      <c r="A118" s="101" t="s">
        <v>92</v>
      </c>
      <c r="B118" s="102"/>
      <c r="C118" s="102"/>
      <c r="D118" s="102"/>
      <c r="E118" s="102"/>
      <c r="F118" s="102"/>
      <c r="G118" s="102"/>
      <c r="H118" s="102"/>
      <c r="I118" s="103"/>
      <c r="J118" s="104" t="s">
        <v>93</v>
      </c>
      <c r="K118" s="104"/>
      <c r="L118" s="104"/>
      <c r="M118" s="102"/>
      <c r="N118" s="102"/>
      <c r="O118" s="347"/>
      <c r="P118" s="347"/>
      <c r="Q118" s="347"/>
      <c r="R118" s="104"/>
      <c r="S118" s="104"/>
      <c r="T118" s="104"/>
      <c r="U118" s="104"/>
      <c r="V118" s="104"/>
      <c r="W118" s="104"/>
      <c r="X118" s="104"/>
      <c r="Y118" s="104"/>
      <c r="Z118" s="103"/>
    </row>
    <row r="119" spans="1:26" x14ac:dyDescent="0.2">
      <c r="A119" s="105"/>
      <c r="B119" s="106"/>
      <c r="C119" s="106"/>
      <c r="D119" s="106"/>
      <c r="E119" s="106"/>
      <c r="F119" s="106"/>
      <c r="G119" s="106"/>
      <c r="H119" s="106"/>
      <c r="I119" s="107"/>
      <c r="J119" s="108" t="s">
        <v>404</v>
      </c>
      <c r="K119" s="109"/>
      <c r="L119" s="110"/>
      <c r="M119" s="111"/>
      <c r="N119" s="111"/>
      <c r="O119" s="109"/>
      <c r="P119" s="109"/>
      <c r="Q119" s="109"/>
      <c r="R119" s="112"/>
      <c r="S119" s="112"/>
      <c r="T119" s="112"/>
      <c r="U119" s="112"/>
      <c r="V119" s="112"/>
      <c r="W119" s="112"/>
      <c r="X119" s="112"/>
      <c r="Y119" s="112"/>
      <c r="Z119" s="113"/>
    </row>
    <row r="120" spans="1:26" x14ac:dyDescent="0.2">
      <c r="A120" s="105"/>
      <c r="B120" s="106"/>
      <c r="C120" s="106"/>
      <c r="D120" s="106"/>
      <c r="E120" s="106"/>
      <c r="F120" s="106"/>
      <c r="G120" s="106"/>
      <c r="H120" s="106"/>
      <c r="I120" s="107"/>
      <c r="J120" s="114"/>
      <c r="K120" s="68"/>
      <c r="L120" s="118"/>
      <c r="M120" s="115"/>
      <c r="N120" s="115"/>
      <c r="O120" s="68"/>
      <c r="P120" s="68"/>
      <c r="Q120" s="68"/>
      <c r="R120" s="220"/>
      <c r="S120" s="220"/>
      <c r="T120" s="220"/>
      <c r="U120" s="220"/>
      <c r="V120" s="220"/>
      <c r="W120" s="220"/>
      <c r="X120" s="220"/>
      <c r="Y120" s="220"/>
      <c r="Z120" s="117"/>
    </row>
    <row r="121" spans="1:26" x14ac:dyDescent="0.2">
      <c r="A121" s="105"/>
      <c r="B121" s="106"/>
      <c r="C121" s="106"/>
      <c r="D121" s="106"/>
      <c r="E121" s="106"/>
      <c r="F121" s="106"/>
      <c r="G121" s="106"/>
      <c r="H121" s="106"/>
      <c r="I121" s="107"/>
      <c r="J121" s="114" t="s">
        <v>364</v>
      </c>
      <c r="K121" s="219"/>
      <c r="L121" s="219"/>
      <c r="M121" s="115"/>
      <c r="N121" s="115"/>
      <c r="O121" s="68"/>
      <c r="P121" s="68"/>
      <c r="Q121" s="68"/>
      <c r="R121" s="220"/>
      <c r="S121" s="220"/>
      <c r="T121" s="220"/>
      <c r="U121" s="220"/>
      <c r="V121" s="220"/>
      <c r="W121" s="220"/>
      <c r="X121" s="220"/>
      <c r="Y121" s="220"/>
      <c r="Z121" s="117"/>
    </row>
    <row r="122" spans="1:26" x14ac:dyDescent="0.2">
      <c r="A122" s="105"/>
      <c r="B122" s="106"/>
      <c r="C122" s="106"/>
      <c r="D122" s="106"/>
      <c r="E122" s="106"/>
      <c r="F122" s="106"/>
      <c r="G122" s="106"/>
      <c r="H122" s="106"/>
      <c r="I122" s="107"/>
      <c r="J122" s="68"/>
      <c r="K122" s="219"/>
      <c r="L122" s="219"/>
      <c r="M122" s="115"/>
      <c r="N122" s="115"/>
      <c r="O122" s="68"/>
      <c r="P122" s="68"/>
      <c r="Q122" s="68"/>
      <c r="R122" s="220"/>
      <c r="S122" s="220"/>
      <c r="T122" s="220"/>
      <c r="U122" s="220"/>
      <c r="V122" s="220"/>
      <c r="W122" s="220"/>
      <c r="X122" s="220"/>
      <c r="Y122" s="220"/>
      <c r="Z122" s="117"/>
    </row>
    <row r="123" spans="1:26" x14ac:dyDescent="0.2">
      <c r="A123" s="105"/>
      <c r="B123" s="106"/>
      <c r="C123" s="106"/>
      <c r="D123" s="106"/>
      <c r="E123" s="106"/>
      <c r="F123" s="106"/>
      <c r="G123" s="106"/>
      <c r="H123" s="106"/>
      <c r="I123" s="107"/>
      <c r="J123" s="106" t="s">
        <v>450</v>
      </c>
      <c r="K123" s="219"/>
      <c r="M123" s="106"/>
      <c r="N123" s="115"/>
      <c r="O123" s="68"/>
      <c r="P123" s="68"/>
      <c r="Q123" s="68"/>
      <c r="R123" s="220"/>
      <c r="S123" s="220"/>
      <c r="T123" s="220"/>
      <c r="U123" s="220"/>
      <c r="V123" s="220"/>
      <c r="W123" s="220"/>
      <c r="X123" s="220"/>
      <c r="Y123" s="220"/>
      <c r="Z123" s="117"/>
    </row>
    <row r="124" spans="1:26" x14ac:dyDescent="0.2">
      <c r="A124" s="105"/>
      <c r="B124" s="106"/>
      <c r="C124" s="106"/>
      <c r="D124" s="106"/>
      <c r="E124" s="106"/>
      <c r="F124" s="106"/>
      <c r="G124" s="106"/>
      <c r="H124" s="106"/>
      <c r="I124" s="107"/>
      <c r="J124" s="106"/>
      <c r="K124" s="219"/>
      <c r="L124" s="106"/>
      <c r="M124" s="115"/>
      <c r="N124" s="115"/>
      <c r="O124" s="68"/>
      <c r="P124" s="68"/>
      <c r="Q124" s="68"/>
      <c r="R124" s="220"/>
      <c r="S124" s="220"/>
      <c r="T124" s="220"/>
      <c r="U124" s="220"/>
      <c r="V124" s="220"/>
      <c r="W124" s="220"/>
      <c r="X124" s="220"/>
      <c r="Y124" s="220"/>
      <c r="Z124" s="117"/>
    </row>
    <row r="125" spans="1:26" x14ac:dyDescent="0.2">
      <c r="A125" s="105"/>
      <c r="B125" s="106"/>
      <c r="C125" s="106"/>
      <c r="D125" s="106"/>
      <c r="E125" s="106"/>
      <c r="F125" s="106"/>
      <c r="G125" s="106"/>
      <c r="H125" s="106"/>
      <c r="I125" s="107"/>
      <c r="J125" s="106" t="s">
        <v>451</v>
      </c>
      <c r="K125" s="219"/>
      <c r="M125" s="106"/>
      <c r="N125" s="115"/>
      <c r="O125" s="68"/>
      <c r="P125" s="68"/>
      <c r="Q125" s="68"/>
      <c r="R125" s="220"/>
      <c r="S125" s="220"/>
      <c r="T125" s="220"/>
      <c r="U125" s="220"/>
      <c r="V125" s="220"/>
      <c r="W125" s="220"/>
      <c r="X125" s="220"/>
      <c r="Y125" s="220"/>
      <c r="Z125" s="117"/>
    </row>
    <row r="126" spans="1:26" x14ac:dyDescent="0.2">
      <c r="A126" s="101" t="s">
        <v>94</v>
      </c>
      <c r="B126" s="102"/>
      <c r="C126" s="102"/>
      <c r="D126" s="104"/>
      <c r="E126" s="104"/>
      <c r="F126" s="104"/>
      <c r="G126" s="104"/>
      <c r="H126" s="104"/>
      <c r="I126" s="103"/>
      <c r="J126" s="105"/>
      <c r="K126" s="219"/>
      <c r="L126" s="219"/>
      <c r="M126" s="106"/>
      <c r="N126" s="68"/>
      <c r="O126" s="106"/>
      <c r="P126" s="106"/>
      <c r="Q126" s="68"/>
      <c r="R126" s="68"/>
      <c r="S126" s="53"/>
      <c r="T126" s="53"/>
      <c r="U126" s="53"/>
      <c r="V126" s="53"/>
      <c r="W126" s="53"/>
      <c r="X126" s="53"/>
      <c r="Y126" s="53"/>
      <c r="Z126" s="117"/>
    </row>
    <row r="127" spans="1:26" x14ac:dyDescent="0.2">
      <c r="A127" s="64" t="s">
        <v>365</v>
      </c>
      <c r="B127" s="119"/>
      <c r="C127" s="119"/>
      <c r="D127" s="119"/>
      <c r="E127" s="119"/>
      <c r="F127" s="119"/>
      <c r="G127" s="119"/>
      <c r="H127" s="119"/>
      <c r="I127" s="131"/>
      <c r="J127" s="106" t="s">
        <v>419</v>
      </c>
      <c r="K127" s="53"/>
      <c r="L127" s="53"/>
      <c r="M127" s="53"/>
      <c r="N127" s="68"/>
      <c r="O127" s="106"/>
      <c r="P127" s="106"/>
      <c r="Q127" s="68"/>
      <c r="R127" s="68"/>
      <c r="S127" s="53"/>
      <c r="T127" s="53"/>
      <c r="U127" s="53"/>
      <c r="V127" s="53"/>
      <c r="W127" s="53"/>
      <c r="X127" s="53"/>
      <c r="Y127" s="53"/>
      <c r="Z127" s="117"/>
    </row>
    <row r="128" spans="1:26" x14ac:dyDescent="0.2">
      <c r="A128" s="64"/>
      <c r="B128" s="119"/>
      <c r="C128" s="119"/>
      <c r="D128" s="119"/>
      <c r="E128" s="119"/>
      <c r="F128" s="119"/>
      <c r="G128" s="119"/>
      <c r="H128" s="119"/>
      <c r="I128" s="131"/>
      <c r="J128" s="68"/>
      <c r="K128" s="53"/>
      <c r="L128" s="53"/>
      <c r="M128" s="53"/>
      <c r="N128" s="68"/>
      <c r="O128" s="106"/>
      <c r="P128" s="106"/>
      <c r="Q128" s="68"/>
      <c r="R128" s="68"/>
      <c r="S128" s="53"/>
      <c r="T128" s="53"/>
      <c r="U128" s="53"/>
      <c r="V128" s="53"/>
      <c r="W128" s="53"/>
      <c r="X128" s="53"/>
      <c r="Y128" s="53"/>
      <c r="Z128" s="117"/>
    </row>
    <row r="129" spans="1:26" x14ac:dyDescent="0.2">
      <c r="A129" s="64"/>
      <c r="B129" s="119"/>
      <c r="C129" s="119"/>
      <c r="D129" s="119"/>
      <c r="E129" s="119"/>
      <c r="F129" s="119"/>
      <c r="G129" s="119"/>
      <c r="H129" s="119"/>
      <c r="I129" s="131"/>
      <c r="J129" s="106" t="s">
        <v>418</v>
      </c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117"/>
    </row>
    <row r="130" spans="1:26" x14ac:dyDescent="0.2">
      <c r="A130" s="64"/>
      <c r="B130" s="119"/>
      <c r="C130" s="119"/>
      <c r="D130" s="119"/>
      <c r="E130" s="119"/>
      <c r="F130" s="119"/>
      <c r="G130" s="119"/>
      <c r="H130" s="119"/>
      <c r="I130" s="131"/>
      <c r="J130" s="219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117"/>
    </row>
    <row r="131" spans="1:26" x14ac:dyDescent="0.2">
      <c r="A131" s="43" t="s">
        <v>95</v>
      </c>
      <c r="B131" s="44"/>
      <c r="C131" s="45" t="str">
        <f>CONCATENATE(画面構成!G4, "A", "14")</f>
        <v>BEN016A14</v>
      </c>
      <c r="D131" s="46"/>
      <c r="E131" s="99"/>
      <c r="F131" s="100" t="s">
        <v>89</v>
      </c>
      <c r="G131" s="10"/>
      <c r="H131" s="11" t="s">
        <v>343</v>
      </c>
      <c r="I131" s="11"/>
      <c r="J131" s="11"/>
      <c r="K131" s="11"/>
      <c r="L131" s="11"/>
      <c r="M131" s="12"/>
      <c r="N131" s="12"/>
      <c r="O131" s="11"/>
      <c r="P131" s="11"/>
      <c r="Q131" s="11"/>
      <c r="R131" s="9" t="s">
        <v>90</v>
      </c>
      <c r="S131" s="100"/>
      <c r="T131" s="10"/>
      <c r="U131" s="11" t="s">
        <v>341</v>
      </c>
      <c r="V131" s="11"/>
      <c r="W131" s="11"/>
      <c r="X131" s="11"/>
      <c r="Y131" s="11"/>
      <c r="Z131" s="13"/>
    </row>
    <row r="132" spans="1:26" x14ac:dyDescent="0.2">
      <c r="A132" s="101" t="s">
        <v>92</v>
      </c>
      <c r="B132" s="102"/>
      <c r="C132" s="102"/>
      <c r="D132" s="102"/>
      <c r="E132" s="102"/>
      <c r="F132" s="102"/>
      <c r="G132" s="102"/>
      <c r="H132" s="102"/>
      <c r="I132" s="103"/>
      <c r="J132" s="104" t="s">
        <v>93</v>
      </c>
      <c r="K132" s="104"/>
      <c r="L132" s="104"/>
      <c r="M132" s="102"/>
      <c r="N132" s="102"/>
      <c r="O132" s="347"/>
      <c r="P132" s="347"/>
      <c r="Q132" s="347"/>
      <c r="R132" s="104"/>
      <c r="S132" s="104"/>
      <c r="T132" s="104"/>
      <c r="U132" s="104"/>
      <c r="V132" s="104"/>
      <c r="W132" s="104"/>
      <c r="X132" s="104"/>
      <c r="Y132" s="104"/>
      <c r="Z132" s="103"/>
    </row>
    <row r="133" spans="1:26" x14ac:dyDescent="0.2">
      <c r="A133" s="105" t="s">
        <v>439</v>
      </c>
      <c r="B133" s="106"/>
      <c r="C133" s="106"/>
      <c r="D133" s="106"/>
      <c r="E133" s="106"/>
      <c r="F133" s="106"/>
      <c r="G133" s="106"/>
      <c r="H133" s="106"/>
      <c r="I133" s="107"/>
      <c r="J133" s="108" t="s">
        <v>421</v>
      </c>
      <c r="K133" s="109"/>
      <c r="L133" s="110"/>
      <c r="M133" s="111"/>
      <c r="N133" s="111"/>
      <c r="O133" s="109"/>
      <c r="P133" s="109"/>
      <c r="Q133" s="109"/>
      <c r="R133" s="112"/>
      <c r="S133" s="112"/>
      <c r="T133" s="112"/>
      <c r="U133" s="112"/>
      <c r="V133" s="112"/>
      <c r="W133" s="112"/>
      <c r="X133" s="112"/>
      <c r="Y133" s="112"/>
      <c r="Z133" s="113"/>
    </row>
    <row r="134" spans="1:26" x14ac:dyDescent="0.2">
      <c r="A134" s="253" t="s">
        <v>440</v>
      </c>
      <c r="B134" s="106" t="s">
        <v>438</v>
      </c>
      <c r="C134" s="106"/>
      <c r="D134" s="106"/>
      <c r="E134" s="106"/>
      <c r="F134" s="106"/>
      <c r="G134" s="106"/>
      <c r="H134" s="106"/>
      <c r="I134" s="107"/>
      <c r="J134" s="114"/>
      <c r="K134" s="68"/>
      <c r="L134" s="118"/>
      <c r="M134" s="115"/>
      <c r="N134" s="115"/>
      <c r="O134" s="68"/>
      <c r="P134" s="68"/>
      <c r="Q134" s="68"/>
      <c r="R134" s="220"/>
      <c r="S134" s="220"/>
      <c r="T134" s="220"/>
      <c r="U134" s="220"/>
      <c r="V134" s="220"/>
      <c r="W134" s="220"/>
      <c r="X134" s="220"/>
      <c r="Y134" s="220"/>
      <c r="Z134" s="117"/>
    </row>
    <row r="135" spans="1:26" x14ac:dyDescent="0.2">
      <c r="A135" s="253" t="s">
        <v>441</v>
      </c>
      <c r="B135" s="106" t="s">
        <v>436</v>
      </c>
      <c r="C135" s="106"/>
      <c r="D135" s="106"/>
      <c r="E135" s="106"/>
      <c r="F135" s="106"/>
      <c r="G135" s="106"/>
      <c r="H135" s="106"/>
      <c r="I135" s="107"/>
      <c r="J135" s="114" t="s">
        <v>420</v>
      </c>
      <c r="K135" s="68"/>
      <c r="L135" s="118"/>
      <c r="M135" s="115"/>
      <c r="N135" s="115"/>
      <c r="O135" s="68"/>
      <c r="P135" s="68"/>
      <c r="Q135" s="68"/>
      <c r="R135" s="220"/>
      <c r="S135" s="220"/>
      <c r="T135" s="220"/>
      <c r="U135" s="220"/>
      <c r="V135" s="220"/>
      <c r="W135" s="220"/>
      <c r="X135" s="220"/>
      <c r="Y135" s="220"/>
      <c r="Z135" s="117"/>
    </row>
    <row r="136" spans="1:26" x14ac:dyDescent="0.2">
      <c r="A136" s="253" t="s">
        <v>442</v>
      </c>
      <c r="B136" s="106" t="s">
        <v>437</v>
      </c>
      <c r="C136" s="106"/>
      <c r="D136" s="106"/>
      <c r="E136" s="106"/>
      <c r="F136" s="106"/>
      <c r="G136" s="106"/>
      <c r="H136" s="106"/>
      <c r="I136" s="107"/>
      <c r="J136" s="114"/>
      <c r="K136" s="68"/>
      <c r="L136" s="118"/>
      <c r="M136" s="115"/>
      <c r="N136" s="115"/>
      <c r="O136" s="68"/>
      <c r="P136" s="68"/>
      <c r="Q136" s="68"/>
      <c r="R136" s="220"/>
      <c r="S136" s="220"/>
      <c r="T136" s="220"/>
      <c r="U136" s="220"/>
      <c r="V136" s="220"/>
      <c r="W136" s="220"/>
      <c r="X136" s="220"/>
      <c r="Y136" s="220"/>
      <c r="Z136" s="117"/>
    </row>
    <row r="137" spans="1:26" x14ac:dyDescent="0.2">
      <c r="A137" s="105"/>
      <c r="B137" s="106"/>
      <c r="C137" s="106"/>
      <c r="D137" s="106"/>
      <c r="E137" s="106"/>
      <c r="F137" s="106"/>
      <c r="G137" s="106"/>
      <c r="H137" s="106"/>
      <c r="I137" s="107"/>
      <c r="J137" s="114" t="s">
        <v>422</v>
      </c>
      <c r="K137" s="219"/>
      <c r="L137" s="219"/>
      <c r="M137" s="115"/>
      <c r="N137" s="115"/>
      <c r="O137" s="68"/>
      <c r="P137" s="68"/>
      <c r="Q137" s="68"/>
      <c r="R137" s="220"/>
      <c r="S137" s="220"/>
      <c r="T137" s="220"/>
      <c r="U137" s="220"/>
      <c r="V137" s="220"/>
      <c r="W137" s="220"/>
      <c r="X137" s="220"/>
      <c r="Y137" s="220"/>
      <c r="Z137" s="117"/>
    </row>
    <row r="138" spans="1:26" x14ac:dyDescent="0.2">
      <c r="A138" s="105"/>
      <c r="B138" s="106"/>
      <c r="C138" s="106"/>
      <c r="D138" s="106"/>
      <c r="E138" s="106"/>
      <c r="F138" s="106"/>
      <c r="G138" s="106"/>
      <c r="H138" s="106"/>
      <c r="I138" s="107"/>
      <c r="J138" s="68"/>
      <c r="K138" s="219" t="s">
        <v>406</v>
      </c>
      <c r="L138" s="219"/>
      <c r="M138" s="68" t="s">
        <v>460</v>
      </c>
      <c r="N138" s="115"/>
      <c r="O138" s="68"/>
      <c r="P138" s="68"/>
      <c r="Q138" s="68"/>
      <c r="R138" s="220"/>
      <c r="S138" s="220"/>
      <c r="T138" s="220"/>
      <c r="U138" s="220"/>
      <c r="V138" s="220"/>
      <c r="W138" s="220"/>
      <c r="X138" s="220"/>
      <c r="Y138" s="220"/>
      <c r="Z138" s="117"/>
    </row>
    <row r="139" spans="1:26" x14ac:dyDescent="0.2">
      <c r="A139" s="105"/>
      <c r="B139" s="106"/>
      <c r="C139" s="106"/>
      <c r="D139" s="106"/>
      <c r="E139" s="106"/>
      <c r="F139" s="106"/>
      <c r="G139" s="106"/>
      <c r="H139" s="106"/>
      <c r="I139" s="107"/>
      <c r="J139" s="68"/>
      <c r="K139" s="219"/>
      <c r="L139" s="219"/>
      <c r="M139" s="68" t="s">
        <v>452</v>
      </c>
      <c r="N139" s="115"/>
      <c r="O139" s="68"/>
      <c r="P139" s="68"/>
      <c r="Q139" s="68"/>
      <c r="R139" s="220"/>
      <c r="S139" s="220"/>
      <c r="T139" s="220"/>
      <c r="U139" s="220"/>
      <c r="V139" s="220"/>
      <c r="W139" s="220"/>
      <c r="X139" s="220"/>
      <c r="Y139" s="220"/>
      <c r="Z139" s="117"/>
    </row>
    <row r="140" spans="1:26" x14ac:dyDescent="0.2">
      <c r="A140" s="105"/>
      <c r="B140" s="106"/>
      <c r="C140" s="106"/>
      <c r="D140" s="106"/>
      <c r="E140" s="106"/>
      <c r="F140" s="106"/>
      <c r="G140" s="106"/>
      <c r="H140" s="106"/>
      <c r="I140" s="107"/>
      <c r="J140" s="68"/>
      <c r="K140" s="219"/>
      <c r="L140" s="219"/>
      <c r="M140" s="68" t="s">
        <v>407</v>
      </c>
      <c r="N140" s="115"/>
      <c r="O140" s="68"/>
      <c r="P140" s="68"/>
      <c r="Q140" s="68"/>
      <c r="R140" s="220"/>
      <c r="S140" s="220"/>
      <c r="T140" s="220"/>
      <c r="U140" s="220"/>
      <c r="V140" s="220"/>
      <c r="W140" s="220"/>
      <c r="X140" s="220"/>
      <c r="Y140" s="220"/>
      <c r="Z140" s="117"/>
    </row>
    <row r="141" spans="1:26" x14ac:dyDescent="0.2">
      <c r="A141" s="105"/>
      <c r="B141" s="106"/>
      <c r="C141" s="106"/>
      <c r="D141" s="106"/>
      <c r="E141" s="106"/>
      <c r="F141" s="106"/>
      <c r="G141" s="106"/>
      <c r="H141" s="106"/>
      <c r="I141" s="107"/>
      <c r="J141" s="68"/>
      <c r="K141" s="219"/>
      <c r="L141" s="219"/>
      <c r="M141" s="68" t="s">
        <v>453</v>
      </c>
      <c r="N141" s="115"/>
      <c r="O141" s="68"/>
      <c r="P141" s="68"/>
      <c r="Q141" s="68"/>
      <c r="R141" s="220"/>
      <c r="S141" s="220"/>
      <c r="T141" s="220"/>
      <c r="U141" s="220"/>
      <c r="V141" s="220"/>
      <c r="W141" s="220"/>
      <c r="X141" s="220"/>
      <c r="Y141" s="220"/>
      <c r="Z141" s="117"/>
    </row>
    <row r="142" spans="1:26" x14ac:dyDescent="0.2">
      <c r="A142" s="105"/>
      <c r="B142" s="106"/>
      <c r="C142" s="106"/>
      <c r="D142" s="106"/>
      <c r="E142" s="106"/>
      <c r="F142" s="68"/>
      <c r="G142" s="106"/>
      <c r="H142" s="106"/>
      <c r="I142" s="107"/>
      <c r="J142" s="68"/>
      <c r="K142" s="219"/>
      <c r="L142" s="219"/>
      <c r="M142" s="68" t="s">
        <v>454</v>
      </c>
      <c r="N142" s="115"/>
      <c r="O142" s="68"/>
      <c r="P142" s="68"/>
      <c r="Q142" s="68"/>
      <c r="R142" s="220"/>
      <c r="S142" s="220"/>
      <c r="T142" s="220"/>
      <c r="U142" s="220"/>
      <c r="V142" s="220"/>
      <c r="W142" s="220"/>
      <c r="X142" s="220"/>
      <c r="Y142" s="220"/>
      <c r="Z142" s="117"/>
    </row>
    <row r="143" spans="1:26" x14ac:dyDescent="0.2">
      <c r="A143" s="105"/>
      <c r="B143" s="106"/>
      <c r="C143" s="106"/>
      <c r="D143" s="106"/>
      <c r="E143" s="106"/>
      <c r="F143" s="106"/>
      <c r="G143" s="106"/>
      <c r="H143" s="106"/>
      <c r="I143" s="107"/>
      <c r="J143" s="68"/>
      <c r="K143" s="219"/>
      <c r="L143" s="219"/>
      <c r="M143" s="68" t="s">
        <v>455</v>
      </c>
      <c r="N143" s="115"/>
      <c r="O143" s="68"/>
      <c r="P143" s="68"/>
      <c r="Q143" s="68"/>
      <c r="R143" s="220"/>
      <c r="S143" s="220"/>
      <c r="T143" s="220"/>
      <c r="U143" s="220"/>
      <c r="V143" s="220"/>
      <c r="W143" s="220"/>
      <c r="X143" s="220"/>
      <c r="Y143" s="220"/>
      <c r="Z143" s="117"/>
    </row>
    <row r="144" spans="1:26" x14ac:dyDescent="0.2">
      <c r="A144" s="105"/>
      <c r="B144" s="106"/>
      <c r="C144" s="106"/>
      <c r="D144" s="106"/>
      <c r="E144" s="106"/>
      <c r="F144" s="106"/>
      <c r="G144" s="106"/>
      <c r="H144" s="106"/>
      <c r="I144" s="107"/>
      <c r="J144" s="68"/>
      <c r="K144" s="219"/>
      <c r="L144" s="219"/>
      <c r="M144" s="68"/>
      <c r="N144" s="115"/>
      <c r="O144" s="68"/>
      <c r="P144" s="68"/>
      <c r="Q144" s="68"/>
      <c r="R144" s="220"/>
      <c r="S144" s="220"/>
      <c r="T144" s="220"/>
      <c r="U144" s="220"/>
      <c r="V144" s="220"/>
      <c r="W144" s="220"/>
      <c r="X144" s="220"/>
      <c r="Y144" s="220"/>
      <c r="Z144" s="117"/>
    </row>
    <row r="145" spans="1:26" x14ac:dyDescent="0.2">
      <c r="A145" s="105"/>
      <c r="B145" s="106"/>
      <c r="C145" s="106"/>
      <c r="D145" s="106"/>
      <c r="E145" s="106"/>
      <c r="F145" s="106"/>
      <c r="G145" s="106"/>
      <c r="H145" s="106"/>
      <c r="I145" s="107"/>
      <c r="J145" s="68"/>
      <c r="K145" s="219" t="s">
        <v>423</v>
      </c>
      <c r="L145" s="219" t="s">
        <v>398</v>
      </c>
      <c r="M145" s="115"/>
      <c r="N145" s="115"/>
      <c r="O145" s="68"/>
      <c r="P145" s="68"/>
      <c r="Q145" s="68"/>
      <c r="R145" s="220"/>
      <c r="S145" s="220"/>
      <c r="T145" s="220"/>
      <c r="U145" s="220"/>
      <c r="V145" s="220"/>
      <c r="W145" s="220"/>
      <c r="X145" s="220"/>
      <c r="Y145" s="220"/>
      <c r="Z145" s="117"/>
    </row>
    <row r="146" spans="1:26" x14ac:dyDescent="0.2">
      <c r="A146" s="105"/>
      <c r="B146" s="106"/>
      <c r="C146" s="106"/>
      <c r="D146" s="106"/>
      <c r="E146" s="106"/>
      <c r="F146" s="106"/>
      <c r="G146" s="106"/>
      <c r="H146" s="106"/>
      <c r="I146" s="107"/>
      <c r="J146" s="68"/>
      <c r="K146" s="219" t="s">
        <v>424</v>
      </c>
      <c r="L146" s="219" t="s">
        <v>430</v>
      </c>
      <c r="M146" s="115"/>
      <c r="N146" s="115"/>
      <c r="O146" s="68"/>
      <c r="P146" s="68"/>
      <c r="Q146" s="68"/>
      <c r="R146" s="220"/>
      <c r="S146" s="220"/>
      <c r="T146" s="220"/>
      <c r="U146" s="220"/>
      <c r="V146" s="220"/>
      <c r="W146" s="220"/>
      <c r="X146" s="220"/>
      <c r="Y146" s="220"/>
      <c r="Z146" s="117"/>
    </row>
    <row r="147" spans="1:26" x14ac:dyDescent="0.2">
      <c r="A147" s="105"/>
      <c r="B147" s="106"/>
      <c r="C147" s="106"/>
      <c r="D147" s="106"/>
      <c r="E147" s="106"/>
      <c r="F147" s="106"/>
      <c r="G147" s="106"/>
      <c r="H147" s="106"/>
      <c r="I147" s="107"/>
      <c r="J147" s="68"/>
      <c r="K147" s="219"/>
      <c r="L147" s="219" t="s">
        <v>399</v>
      </c>
      <c r="M147" s="115"/>
      <c r="N147" s="115"/>
      <c r="O147" s="68"/>
      <c r="P147" s="68"/>
      <c r="Q147" s="68"/>
      <c r="R147" s="220"/>
      <c r="S147" s="220"/>
      <c r="T147" s="220"/>
      <c r="U147" s="220"/>
      <c r="V147" s="220"/>
      <c r="W147" s="220"/>
      <c r="X147" s="220"/>
      <c r="Y147" s="220"/>
      <c r="Z147" s="117"/>
    </row>
    <row r="148" spans="1:26" x14ac:dyDescent="0.2">
      <c r="A148" s="105"/>
      <c r="B148" s="106"/>
      <c r="C148" s="106"/>
      <c r="D148" s="106"/>
      <c r="E148" s="106"/>
      <c r="F148" s="106"/>
      <c r="G148" s="106"/>
      <c r="H148" s="106"/>
      <c r="I148" s="107"/>
      <c r="J148" s="68"/>
      <c r="K148" s="219"/>
      <c r="L148" s="219" t="s">
        <v>400</v>
      </c>
      <c r="M148" s="115"/>
      <c r="N148" s="115"/>
      <c r="O148" s="68"/>
      <c r="P148" s="68"/>
      <c r="Q148" s="68"/>
      <c r="R148" s="220"/>
      <c r="S148" s="220"/>
      <c r="T148" s="220"/>
      <c r="U148" s="220"/>
      <c r="V148" s="220"/>
      <c r="W148" s="220"/>
      <c r="X148" s="220"/>
      <c r="Y148" s="220"/>
      <c r="Z148" s="117"/>
    </row>
    <row r="149" spans="1:26" x14ac:dyDescent="0.2">
      <c r="A149" s="101" t="s">
        <v>94</v>
      </c>
      <c r="B149" s="102"/>
      <c r="C149" s="102"/>
      <c r="D149" s="104"/>
      <c r="E149" s="104"/>
      <c r="F149" s="104"/>
      <c r="G149" s="104"/>
      <c r="H149" s="104"/>
      <c r="I149" s="103"/>
      <c r="J149" s="68"/>
      <c r="K149" s="219"/>
      <c r="L149" s="219" t="s">
        <v>401</v>
      </c>
      <c r="M149" s="115"/>
      <c r="N149" s="115"/>
      <c r="O149" s="68"/>
      <c r="P149" s="68"/>
      <c r="Q149" s="68"/>
      <c r="R149" s="220"/>
      <c r="S149" s="220"/>
      <c r="T149" s="220"/>
      <c r="U149" s="220"/>
      <c r="V149" s="220"/>
      <c r="W149" s="220"/>
      <c r="X149" s="220"/>
      <c r="Y149" s="220"/>
      <c r="Z149" s="117"/>
    </row>
    <row r="150" spans="1:26" x14ac:dyDescent="0.2">
      <c r="A150" s="64" t="s">
        <v>403</v>
      </c>
      <c r="B150" s="119"/>
      <c r="C150" s="119"/>
      <c r="D150" s="119"/>
      <c r="E150" s="119"/>
      <c r="F150" s="119"/>
      <c r="G150" s="119"/>
      <c r="H150" s="119"/>
      <c r="I150" s="131"/>
      <c r="J150" s="68"/>
      <c r="K150" s="219" t="s">
        <v>425</v>
      </c>
      <c r="L150" s="219" t="s">
        <v>431</v>
      </c>
      <c r="M150" s="115"/>
      <c r="N150" s="115"/>
      <c r="O150" s="68"/>
      <c r="P150" s="68"/>
      <c r="Q150" s="68"/>
      <c r="R150" s="220"/>
      <c r="S150" s="220"/>
      <c r="T150" s="220"/>
      <c r="U150" s="220"/>
      <c r="V150" s="220"/>
      <c r="W150" s="220"/>
      <c r="X150" s="220"/>
      <c r="Y150" s="220"/>
      <c r="Z150" s="117"/>
    </row>
    <row r="151" spans="1:26" x14ac:dyDescent="0.2">
      <c r="A151" s="64"/>
      <c r="B151" s="119"/>
      <c r="C151" s="119"/>
      <c r="D151" s="119"/>
      <c r="E151" s="119"/>
      <c r="F151" s="119"/>
      <c r="G151" s="119"/>
      <c r="H151" s="119"/>
      <c r="I151" s="131"/>
      <c r="J151" s="68"/>
      <c r="K151" s="219" t="s">
        <v>426</v>
      </c>
      <c r="L151" s="219" t="s">
        <v>456</v>
      </c>
      <c r="M151" s="115"/>
      <c r="N151" s="115"/>
      <c r="O151" s="68"/>
      <c r="P151" s="68"/>
      <c r="Q151" s="68"/>
      <c r="R151" s="220"/>
      <c r="S151" s="220"/>
      <c r="T151" s="220"/>
      <c r="U151" s="220"/>
      <c r="V151" s="220"/>
      <c r="W151" s="220"/>
      <c r="X151" s="220"/>
      <c r="Y151" s="220"/>
      <c r="Z151" s="117"/>
    </row>
    <row r="152" spans="1:26" x14ac:dyDescent="0.2">
      <c r="A152" s="64"/>
      <c r="B152" s="119"/>
      <c r="C152" s="119"/>
      <c r="D152" s="119"/>
      <c r="E152" s="119"/>
      <c r="F152" s="119"/>
      <c r="G152" s="119"/>
      <c r="H152" s="119"/>
      <c r="I152" s="131"/>
      <c r="J152" s="68"/>
      <c r="K152" s="219" t="s">
        <v>427</v>
      </c>
      <c r="L152" s="219" t="s">
        <v>433</v>
      </c>
      <c r="M152" s="115"/>
      <c r="N152" s="115"/>
      <c r="O152" s="68"/>
      <c r="P152" s="68"/>
      <c r="Q152" s="68"/>
      <c r="R152" s="220"/>
      <c r="S152" s="220"/>
      <c r="T152" s="220"/>
      <c r="U152" s="220"/>
      <c r="V152" s="220"/>
      <c r="W152" s="220"/>
      <c r="X152" s="220"/>
      <c r="Y152" s="220"/>
      <c r="Z152" s="117"/>
    </row>
    <row r="153" spans="1:26" x14ac:dyDescent="0.2">
      <c r="A153" s="64"/>
      <c r="B153" s="119"/>
      <c r="C153" s="119"/>
      <c r="D153" s="119"/>
      <c r="E153" s="119"/>
      <c r="F153" s="119"/>
      <c r="G153" s="119"/>
      <c r="H153" s="119"/>
      <c r="I153" s="131"/>
      <c r="J153" s="68"/>
      <c r="K153" s="219" t="s">
        <v>428</v>
      </c>
      <c r="L153" s="219" t="s">
        <v>432</v>
      </c>
      <c r="M153" s="115"/>
      <c r="N153" s="115"/>
      <c r="O153" s="68"/>
      <c r="P153" s="68"/>
      <c r="Q153" s="68"/>
      <c r="R153" s="220"/>
      <c r="S153" s="220"/>
      <c r="T153" s="220"/>
      <c r="U153" s="220"/>
      <c r="V153" s="220"/>
      <c r="W153" s="220"/>
      <c r="X153" s="220"/>
      <c r="Y153" s="220"/>
      <c r="Z153" s="117"/>
    </row>
    <row r="154" spans="1:26" x14ac:dyDescent="0.2">
      <c r="A154" s="64"/>
      <c r="B154" s="119"/>
      <c r="C154" s="119"/>
      <c r="D154" s="119"/>
      <c r="E154" s="119"/>
      <c r="F154" s="119"/>
      <c r="G154" s="119"/>
      <c r="H154" s="119"/>
      <c r="I154" s="131"/>
      <c r="J154" s="68"/>
      <c r="K154" s="219"/>
      <c r="L154" s="219" t="s">
        <v>402</v>
      </c>
      <c r="M154" s="115"/>
      <c r="N154" s="115"/>
      <c r="O154" s="68"/>
      <c r="P154" s="68"/>
      <c r="Q154" s="68"/>
      <c r="R154" s="220"/>
      <c r="S154" s="220"/>
      <c r="T154" s="220"/>
      <c r="U154" s="220"/>
      <c r="V154" s="220"/>
      <c r="W154" s="220"/>
      <c r="X154" s="220"/>
      <c r="Y154" s="220"/>
      <c r="Z154" s="117"/>
    </row>
    <row r="155" spans="1:26" x14ac:dyDescent="0.2">
      <c r="A155" s="64"/>
      <c r="B155" s="119"/>
      <c r="C155" s="119"/>
      <c r="D155" s="119"/>
      <c r="E155" s="119"/>
      <c r="F155" s="119"/>
      <c r="G155" s="119"/>
      <c r="H155" s="119"/>
      <c r="I155" s="131"/>
      <c r="J155" s="68"/>
      <c r="K155" s="219"/>
      <c r="L155" s="219" t="s">
        <v>400</v>
      </c>
      <c r="M155" s="115"/>
      <c r="N155" s="115"/>
      <c r="O155" s="68"/>
      <c r="P155" s="68"/>
      <c r="Q155" s="68"/>
      <c r="R155" s="220"/>
      <c r="S155" s="220"/>
      <c r="T155" s="220"/>
      <c r="U155" s="220"/>
      <c r="V155" s="220"/>
      <c r="W155" s="220"/>
      <c r="X155" s="220"/>
      <c r="Y155" s="220"/>
      <c r="Z155" s="117"/>
    </row>
    <row r="156" spans="1:26" x14ac:dyDescent="0.2">
      <c r="A156" s="64"/>
      <c r="B156" s="119"/>
      <c r="C156" s="119"/>
      <c r="D156" s="119"/>
      <c r="E156" s="119"/>
      <c r="F156" s="119"/>
      <c r="G156" s="119"/>
      <c r="H156" s="119"/>
      <c r="I156" s="131"/>
      <c r="J156" s="68"/>
      <c r="K156" s="219"/>
      <c r="L156" s="219" t="s">
        <v>401</v>
      </c>
      <c r="M156" s="115"/>
      <c r="N156" s="115"/>
      <c r="O156" s="68"/>
      <c r="P156" s="68"/>
      <c r="Q156" s="68"/>
      <c r="R156" s="220"/>
      <c r="S156" s="220"/>
      <c r="T156" s="220"/>
      <c r="U156" s="220"/>
      <c r="V156" s="220"/>
      <c r="W156" s="220"/>
      <c r="X156" s="220"/>
      <c r="Y156" s="220"/>
      <c r="Z156" s="117"/>
    </row>
    <row r="157" spans="1:26" x14ac:dyDescent="0.2">
      <c r="A157" s="64"/>
      <c r="B157" s="119"/>
      <c r="C157" s="119"/>
      <c r="D157" s="119"/>
      <c r="E157" s="119"/>
      <c r="F157" s="119"/>
      <c r="G157" s="119"/>
      <c r="H157" s="119"/>
      <c r="I157" s="131"/>
      <c r="J157" s="68"/>
      <c r="K157" s="219" t="s">
        <v>429</v>
      </c>
      <c r="L157" s="219" t="s">
        <v>457</v>
      </c>
      <c r="M157" s="115"/>
      <c r="N157" s="115"/>
      <c r="O157" s="68"/>
      <c r="P157" s="68"/>
      <c r="Q157" s="68"/>
      <c r="R157" s="220"/>
      <c r="S157" s="220"/>
      <c r="T157" s="220"/>
      <c r="U157" s="220"/>
      <c r="V157" s="220"/>
      <c r="W157" s="220"/>
      <c r="X157" s="220"/>
      <c r="Y157" s="220"/>
      <c r="Z157" s="117"/>
    </row>
    <row r="158" spans="1:26" x14ac:dyDescent="0.2">
      <c r="A158" s="64"/>
      <c r="B158" s="119"/>
      <c r="C158" s="119"/>
      <c r="D158" s="119"/>
      <c r="E158" s="119"/>
      <c r="F158" s="119"/>
      <c r="G158" s="119"/>
      <c r="H158" s="119"/>
      <c r="I158" s="131"/>
      <c r="J158" s="68"/>
      <c r="K158" s="219"/>
      <c r="L158" s="219"/>
      <c r="M158" s="115"/>
      <c r="N158" s="115"/>
      <c r="O158" s="68"/>
      <c r="P158" s="68"/>
      <c r="Q158" s="68"/>
      <c r="R158" s="220"/>
      <c r="S158" s="220"/>
      <c r="T158" s="220"/>
      <c r="U158" s="220"/>
      <c r="V158" s="220"/>
      <c r="W158" s="220"/>
      <c r="X158" s="220"/>
      <c r="Y158" s="220"/>
      <c r="Z158" s="117"/>
    </row>
    <row r="159" spans="1:26" x14ac:dyDescent="0.2">
      <c r="A159" s="64"/>
      <c r="B159" s="119"/>
      <c r="C159" s="119"/>
      <c r="D159" s="119"/>
      <c r="E159" s="119"/>
      <c r="F159" s="119"/>
      <c r="G159" s="119"/>
      <c r="H159" s="119"/>
      <c r="I159" s="131"/>
      <c r="J159" s="106" t="s">
        <v>435</v>
      </c>
      <c r="K159" s="219"/>
      <c r="M159" s="106"/>
      <c r="N159" s="115"/>
      <c r="O159" s="68"/>
      <c r="P159" s="68"/>
      <c r="Q159" s="68"/>
      <c r="R159" s="220"/>
      <c r="S159" s="220"/>
      <c r="T159" s="220"/>
      <c r="U159" s="220"/>
      <c r="V159" s="220"/>
      <c r="W159" s="220"/>
      <c r="X159" s="220"/>
      <c r="Y159" s="220"/>
      <c r="Z159" s="117"/>
    </row>
    <row r="160" spans="1:26" x14ac:dyDescent="0.2">
      <c r="A160" s="64"/>
      <c r="B160" s="119"/>
      <c r="C160" s="119"/>
      <c r="D160" s="119"/>
      <c r="E160" s="119"/>
      <c r="F160" s="119"/>
      <c r="G160" s="119"/>
      <c r="H160" s="119"/>
      <c r="I160" s="131"/>
      <c r="J160" s="106"/>
      <c r="K160" s="219"/>
      <c r="L160" s="106"/>
      <c r="M160" s="115"/>
      <c r="N160" s="115"/>
      <c r="O160" s="68"/>
      <c r="P160" s="68"/>
      <c r="Q160" s="68"/>
      <c r="R160" s="220"/>
      <c r="S160" s="220"/>
      <c r="T160" s="220"/>
      <c r="U160" s="220"/>
      <c r="V160" s="220"/>
      <c r="W160" s="220"/>
      <c r="X160" s="220"/>
      <c r="Y160" s="220"/>
      <c r="Z160" s="117"/>
    </row>
    <row r="161" spans="1:26" x14ac:dyDescent="0.2">
      <c r="A161" s="64"/>
      <c r="B161" s="119"/>
      <c r="C161" s="119"/>
      <c r="D161" s="119"/>
      <c r="E161" s="119"/>
      <c r="F161" s="119"/>
      <c r="G161" s="119"/>
      <c r="H161" s="119"/>
      <c r="I161" s="131"/>
      <c r="J161" s="106" t="s">
        <v>434</v>
      </c>
      <c r="K161" s="219"/>
      <c r="M161" s="106"/>
      <c r="N161" s="115"/>
      <c r="O161" s="68"/>
      <c r="P161" s="68"/>
      <c r="Q161" s="68"/>
      <c r="R161" s="220"/>
      <c r="S161" s="220"/>
      <c r="T161" s="220"/>
      <c r="U161" s="220"/>
      <c r="V161" s="220"/>
      <c r="W161" s="220"/>
      <c r="X161" s="53"/>
      <c r="Y161" s="53"/>
      <c r="Z161" s="117"/>
    </row>
    <row r="162" spans="1:26" x14ac:dyDescent="0.2">
      <c r="A162" s="64"/>
      <c r="B162" s="119"/>
      <c r="C162" s="119"/>
      <c r="D162" s="119"/>
      <c r="E162" s="119"/>
      <c r="F162" s="119"/>
      <c r="G162" s="119"/>
      <c r="H162" s="119"/>
      <c r="I162" s="131"/>
      <c r="J162" s="219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117"/>
    </row>
    <row r="163" spans="1:26" x14ac:dyDescent="0.2">
      <c r="A163" s="70" t="s">
        <v>60</v>
      </c>
      <c r="B163" s="71"/>
      <c r="C163" s="72" t="s">
        <v>458</v>
      </c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4"/>
    </row>
    <row r="164" spans="1:26" x14ac:dyDescent="0.2">
      <c r="A164" s="43" t="s">
        <v>88</v>
      </c>
      <c r="B164" s="44"/>
      <c r="C164" s="45"/>
      <c r="D164" s="46"/>
      <c r="E164" s="99"/>
      <c r="F164" s="100" t="s">
        <v>89</v>
      </c>
      <c r="G164" s="10"/>
      <c r="H164" s="11" t="s">
        <v>484</v>
      </c>
      <c r="I164" s="11"/>
      <c r="J164" s="11"/>
      <c r="K164" s="11"/>
      <c r="L164" s="11"/>
      <c r="M164" s="12"/>
      <c r="N164" s="12"/>
      <c r="O164" s="11"/>
      <c r="P164" s="11"/>
      <c r="Q164" s="11"/>
      <c r="R164" s="9" t="s">
        <v>90</v>
      </c>
      <c r="S164" s="100"/>
      <c r="T164" s="10"/>
      <c r="U164" s="11" t="s">
        <v>459</v>
      </c>
      <c r="V164" s="11"/>
      <c r="W164" s="11"/>
      <c r="X164" s="11"/>
      <c r="Y164" s="11"/>
      <c r="Z164" s="13"/>
    </row>
    <row r="165" spans="1:26" x14ac:dyDescent="0.2">
      <c r="A165" s="101" t="s">
        <v>92</v>
      </c>
      <c r="B165" s="102"/>
      <c r="C165" s="102"/>
      <c r="D165" s="102"/>
      <c r="E165" s="102"/>
      <c r="F165" s="102"/>
      <c r="G165" s="102"/>
      <c r="H165" s="102"/>
      <c r="I165" s="103"/>
      <c r="J165" s="104" t="s">
        <v>93</v>
      </c>
      <c r="K165" s="104"/>
      <c r="L165" s="104"/>
      <c r="M165" s="102"/>
      <c r="N165" s="102"/>
      <c r="O165" s="347"/>
      <c r="P165" s="347"/>
      <c r="Q165" s="347"/>
      <c r="R165" s="104"/>
      <c r="S165" s="104"/>
      <c r="T165" s="104"/>
      <c r="U165" s="104"/>
      <c r="V165" s="104"/>
      <c r="W165" s="104"/>
      <c r="X165" s="104"/>
      <c r="Y165" s="104"/>
      <c r="Z165" s="103"/>
    </row>
    <row r="166" spans="1:26" x14ac:dyDescent="0.2">
      <c r="A166" s="105" t="s">
        <v>508</v>
      </c>
      <c r="B166" s="106"/>
      <c r="C166" s="106"/>
      <c r="D166" s="106"/>
      <c r="E166" s="106"/>
      <c r="F166" s="106"/>
      <c r="G166" s="106"/>
      <c r="H166" s="106"/>
      <c r="I166" s="107"/>
      <c r="J166" s="108" t="s">
        <v>507</v>
      </c>
      <c r="K166" s="109"/>
      <c r="L166" s="110"/>
      <c r="M166" s="111"/>
      <c r="N166" s="111"/>
      <c r="O166" s="109"/>
      <c r="P166" s="109"/>
      <c r="Q166" s="109"/>
      <c r="R166" s="112"/>
      <c r="S166" s="112"/>
      <c r="T166" s="112"/>
      <c r="U166" s="112"/>
      <c r="V166" s="112"/>
      <c r="W166" s="112"/>
      <c r="X166" s="112"/>
      <c r="Y166" s="112"/>
      <c r="Z166" s="113"/>
    </row>
    <row r="167" spans="1:26" x14ac:dyDescent="0.2">
      <c r="A167" s="105" t="s">
        <v>485</v>
      </c>
      <c r="B167" s="106"/>
      <c r="C167" s="106"/>
      <c r="D167" s="106"/>
      <c r="E167" s="106"/>
      <c r="F167" s="106"/>
      <c r="G167" s="106"/>
      <c r="H167" s="106"/>
      <c r="I167" s="107"/>
      <c r="J167" s="106"/>
      <c r="L167" s="106"/>
      <c r="M167" s="106"/>
      <c r="N167" s="53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117"/>
    </row>
    <row r="168" spans="1:26" x14ac:dyDescent="0.2">
      <c r="A168" s="105" t="s">
        <v>486</v>
      </c>
      <c r="B168" s="106"/>
      <c r="C168" s="106"/>
      <c r="D168" s="106"/>
      <c r="E168" s="106"/>
      <c r="F168" s="106"/>
      <c r="G168" s="106"/>
      <c r="H168" s="106"/>
      <c r="I168" s="107"/>
      <c r="J168" s="106"/>
      <c r="L168" s="106"/>
      <c r="M168" s="106"/>
      <c r="N168" s="53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117"/>
    </row>
    <row r="169" spans="1:26" x14ac:dyDescent="0.2">
      <c r="A169" s="105" t="s">
        <v>487</v>
      </c>
      <c r="B169" s="106"/>
      <c r="C169" s="106"/>
      <c r="D169" s="106"/>
      <c r="E169" s="106"/>
      <c r="F169" s="106"/>
      <c r="G169" s="106"/>
      <c r="H169" s="106"/>
      <c r="I169" s="107"/>
      <c r="J169" s="106"/>
      <c r="L169" s="106"/>
      <c r="M169" s="106"/>
      <c r="N169" s="53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117"/>
    </row>
    <row r="170" spans="1:26" x14ac:dyDescent="0.2">
      <c r="A170" s="105" t="s">
        <v>488</v>
      </c>
      <c r="B170" s="106"/>
      <c r="C170" s="106"/>
      <c r="D170" s="106"/>
      <c r="E170" s="106"/>
      <c r="F170" s="106"/>
      <c r="G170" s="106"/>
      <c r="H170" s="106"/>
      <c r="I170" s="107"/>
      <c r="J170" s="106"/>
      <c r="L170" s="106"/>
      <c r="M170" s="106"/>
      <c r="N170" s="53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117"/>
    </row>
    <row r="171" spans="1:26" x14ac:dyDescent="0.2">
      <c r="A171" s="105" t="s">
        <v>489</v>
      </c>
      <c r="B171" s="106"/>
      <c r="C171" s="106"/>
      <c r="D171" s="106"/>
      <c r="E171" s="106"/>
      <c r="F171" s="106"/>
      <c r="G171" s="106"/>
      <c r="H171" s="106"/>
      <c r="I171" s="107"/>
      <c r="J171" s="106"/>
      <c r="L171" s="106"/>
      <c r="M171" s="106"/>
      <c r="N171" s="53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117"/>
    </row>
    <row r="172" spans="1:26" x14ac:dyDescent="0.2">
      <c r="A172" s="105" t="s">
        <v>490</v>
      </c>
      <c r="B172" s="106"/>
      <c r="C172" s="106"/>
      <c r="D172" s="106"/>
      <c r="E172" s="106"/>
      <c r="F172" s="106"/>
      <c r="G172" s="106"/>
      <c r="H172" s="106"/>
      <c r="I172" s="107"/>
      <c r="J172" s="106"/>
      <c r="L172" s="106"/>
      <c r="M172" s="106"/>
      <c r="N172" s="53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117"/>
    </row>
    <row r="173" spans="1:26" x14ac:dyDescent="0.2">
      <c r="A173" s="105" t="s">
        <v>491</v>
      </c>
      <c r="B173" s="106"/>
      <c r="C173" s="106"/>
      <c r="D173" s="106"/>
      <c r="E173" s="106"/>
      <c r="F173" s="106"/>
      <c r="G173" s="106"/>
      <c r="H173" s="106"/>
      <c r="I173" s="107"/>
      <c r="J173" s="106"/>
      <c r="L173" s="106"/>
      <c r="M173" s="106"/>
      <c r="N173" s="53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117"/>
    </row>
    <row r="174" spans="1:26" x14ac:dyDescent="0.2">
      <c r="A174" s="105" t="s">
        <v>500</v>
      </c>
      <c r="B174" s="106"/>
      <c r="C174" s="106"/>
      <c r="D174" s="106"/>
      <c r="E174" s="106"/>
      <c r="F174" s="106"/>
      <c r="G174" s="106"/>
      <c r="H174" s="106"/>
      <c r="I174" s="107"/>
      <c r="J174" s="106"/>
      <c r="L174" s="106"/>
      <c r="M174" s="106"/>
      <c r="N174" s="53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117"/>
    </row>
    <row r="175" spans="1:26" x14ac:dyDescent="0.2">
      <c r="A175" s="105" t="s">
        <v>490</v>
      </c>
      <c r="B175" s="106"/>
      <c r="C175" s="106"/>
      <c r="D175" s="106"/>
      <c r="E175" s="106"/>
      <c r="F175" s="106"/>
      <c r="G175" s="106"/>
      <c r="H175" s="106"/>
      <c r="I175" s="107"/>
      <c r="J175" s="106"/>
      <c r="L175" s="106"/>
      <c r="M175" s="106"/>
      <c r="N175" s="53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117"/>
    </row>
    <row r="176" spans="1:26" x14ac:dyDescent="0.2">
      <c r="A176" s="105" t="s">
        <v>492</v>
      </c>
      <c r="B176" s="106"/>
      <c r="C176" s="106"/>
      <c r="D176" s="106"/>
      <c r="E176" s="106"/>
      <c r="F176" s="106"/>
      <c r="G176" s="106"/>
      <c r="H176" s="106"/>
      <c r="I176" s="107"/>
      <c r="J176" s="106"/>
      <c r="L176" s="106"/>
      <c r="M176" s="106"/>
      <c r="N176" s="53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117"/>
    </row>
    <row r="177" spans="1:26" x14ac:dyDescent="0.2">
      <c r="A177" s="105" t="s">
        <v>489</v>
      </c>
      <c r="B177" s="106"/>
      <c r="C177" s="106"/>
      <c r="D177" s="106"/>
      <c r="E177" s="106"/>
      <c r="F177" s="106"/>
      <c r="G177" s="106"/>
      <c r="H177" s="106"/>
      <c r="I177" s="107"/>
      <c r="J177" s="106"/>
      <c r="L177" s="106"/>
      <c r="M177" s="106"/>
      <c r="N177" s="53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117"/>
    </row>
    <row r="178" spans="1:26" x14ac:dyDescent="0.2">
      <c r="A178" s="105" t="s">
        <v>493</v>
      </c>
      <c r="B178" s="106"/>
      <c r="C178" s="106"/>
      <c r="D178" s="106"/>
      <c r="E178" s="106"/>
      <c r="F178" s="106"/>
      <c r="G178" s="106"/>
      <c r="H178" s="106"/>
      <c r="I178" s="107"/>
      <c r="J178" s="106"/>
      <c r="L178" s="106"/>
      <c r="M178" s="106"/>
      <c r="N178" s="53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117"/>
    </row>
    <row r="179" spans="1:26" x14ac:dyDescent="0.2">
      <c r="A179" s="105" t="s">
        <v>501</v>
      </c>
      <c r="B179" s="106"/>
      <c r="C179" s="106"/>
      <c r="D179" s="106"/>
      <c r="E179" s="106"/>
      <c r="F179" s="106"/>
      <c r="G179" s="106"/>
      <c r="H179" s="106"/>
      <c r="I179" s="107"/>
      <c r="J179" s="106"/>
      <c r="L179" s="106"/>
      <c r="M179" s="106"/>
      <c r="N179" s="53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117"/>
    </row>
    <row r="180" spans="1:26" x14ac:dyDescent="0.2">
      <c r="A180" s="105"/>
      <c r="B180" s="106"/>
      <c r="C180" s="106"/>
      <c r="D180" s="106"/>
      <c r="E180" s="106"/>
      <c r="F180" s="106"/>
      <c r="G180" s="106"/>
      <c r="H180" s="106"/>
      <c r="I180" s="107"/>
      <c r="J180" s="106"/>
      <c r="L180" s="106"/>
      <c r="M180" s="106"/>
      <c r="N180" s="53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117"/>
    </row>
    <row r="181" spans="1:26" x14ac:dyDescent="0.2">
      <c r="A181" s="105" t="s">
        <v>499</v>
      </c>
      <c r="B181" s="106"/>
      <c r="C181" s="106"/>
      <c r="D181" s="106"/>
      <c r="E181" s="106"/>
      <c r="F181" s="106"/>
      <c r="G181" s="106"/>
      <c r="H181" s="106"/>
      <c r="I181" s="107"/>
      <c r="J181" s="106"/>
      <c r="L181" s="106"/>
      <c r="M181" s="106"/>
      <c r="N181" s="53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117"/>
    </row>
    <row r="182" spans="1:26" x14ac:dyDescent="0.2">
      <c r="A182" s="105" t="s">
        <v>498</v>
      </c>
      <c r="B182" s="106"/>
      <c r="C182" s="106"/>
      <c r="D182" s="106"/>
      <c r="E182" s="106"/>
      <c r="F182" s="106"/>
      <c r="G182" s="106"/>
      <c r="H182" s="106"/>
      <c r="I182" s="107"/>
      <c r="J182" s="106"/>
      <c r="L182" s="106"/>
      <c r="M182" s="106"/>
      <c r="N182" s="53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117"/>
    </row>
    <row r="183" spans="1:26" x14ac:dyDescent="0.2">
      <c r="A183" s="105" t="s">
        <v>494</v>
      </c>
      <c r="B183" s="106"/>
      <c r="C183" s="106"/>
      <c r="D183" s="106"/>
      <c r="E183" s="106"/>
      <c r="F183" s="106"/>
      <c r="G183" s="106"/>
      <c r="H183" s="106"/>
      <c r="I183" s="107"/>
      <c r="J183" s="106"/>
      <c r="L183" s="106"/>
      <c r="M183" s="106"/>
      <c r="N183" s="53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117"/>
    </row>
    <row r="184" spans="1:26" x14ac:dyDescent="0.2">
      <c r="A184" s="105" t="s">
        <v>495</v>
      </c>
      <c r="B184" s="106"/>
      <c r="C184" s="106"/>
      <c r="D184" s="106"/>
      <c r="E184" s="106"/>
      <c r="F184" s="106"/>
      <c r="G184" s="106"/>
      <c r="H184" s="106"/>
      <c r="I184" s="107"/>
      <c r="J184" s="106"/>
      <c r="L184" s="106"/>
      <c r="M184" s="106"/>
      <c r="N184" s="53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117"/>
    </row>
    <row r="185" spans="1:26" x14ac:dyDescent="0.2">
      <c r="A185" s="105" t="s">
        <v>496</v>
      </c>
      <c r="B185" s="106"/>
      <c r="C185" s="106"/>
      <c r="D185" s="106"/>
      <c r="E185" s="106"/>
      <c r="F185" s="106"/>
      <c r="G185" s="106"/>
      <c r="H185" s="106"/>
      <c r="I185" s="107"/>
      <c r="J185" s="106"/>
      <c r="L185" s="106"/>
      <c r="M185" s="106"/>
      <c r="N185" s="53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117"/>
    </row>
    <row r="186" spans="1:26" x14ac:dyDescent="0.2">
      <c r="A186" s="105" t="s">
        <v>497</v>
      </c>
      <c r="B186" s="106"/>
      <c r="C186" s="106"/>
      <c r="D186" s="106"/>
      <c r="E186" s="106"/>
      <c r="F186" s="106"/>
      <c r="G186" s="106"/>
      <c r="H186" s="106"/>
      <c r="I186" s="107"/>
      <c r="J186" s="106"/>
      <c r="L186" s="106"/>
      <c r="M186" s="106"/>
      <c r="N186" s="53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117"/>
    </row>
    <row r="187" spans="1:26" x14ac:dyDescent="0.2">
      <c r="A187" s="105" t="s">
        <v>502</v>
      </c>
      <c r="B187" s="106"/>
      <c r="C187" s="106"/>
      <c r="D187" s="106"/>
      <c r="E187" s="106"/>
      <c r="F187" s="106"/>
      <c r="G187" s="106"/>
      <c r="H187" s="106"/>
      <c r="I187" s="107"/>
      <c r="J187" s="106"/>
      <c r="L187" s="106"/>
      <c r="M187" s="106"/>
      <c r="N187" s="53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117"/>
    </row>
    <row r="188" spans="1:26" x14ac:dyDescent="0.2">
      <c r="A188" s="105" t="s">
        <v>503</v>
      </c>
      <c r="B188" s="106"/>
      <c r="C188" s="106"/>
      <c r="D188" s="106"/>
      <c r="E188" s="106"/>
      <c r="F188" s="106"/>
      <c r="G188" s="106"/>
      <c r="H188" s="106"/>
      <c r="I188" s="107"/>
      <c r="J188" s="106"/>
      <c r="L188" s="106"/>
      <c r="M188" s="106"/>
      <c r="N188" s="53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117"/>
    </row>
    <row r="189" spans="1:26" x14ac:dyDescent="0.2">
      <c r="A189" s="105" t="s">
        <v>504</v>
      </c>
      <c r="B189" s="106"/>
      <c r="C189" s="106"/>
      <c r="D189" s="106"/>
      <c r="E189" s="106"/>
      <c r="F189" s="106"/>
      <c r="G189" s="106"/>
      <c r="H189" s="106"/>
      <c r="I189" s="107"/>
      <c r="J189" s="106"/>
      <c r="L189" s="106"/>
      <c r="M189" s="106"/>
      <c r="N189" s="53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117"/>
    </row>
    <row r="190" spans="1:26" x14ac:dyDescent="0.2">
      <c r="A190" s="105" t="s">
        <v>505</v>
      </c>
      <c r="B190" s="106"/>
      <c r="C190" s="106"/>
      <c r="D190" s="106"/>
      <c r="E190" s="106"/>
      <c r="F190" s="106"/>
      <c r="G190" s="106"/>
      <c r="H190" s="106"/>
      <c r="I190" s="107"/>
      <c r="J190" s="106"/>
      <c r="L190" s="106"/>
      <c r="M190" s="106"/>
      <c r="N190" s="53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117"/>
    </row>
    <row r="191" spans="1:26" x14ac:dyDescent="0.2">
      <c r="A191" s="105" t="s">
        <v>506</v>
      </c>
      <c r="B191" s="106"/>
      <c r="C191" s="106"/>
      <c r="D191" s="106"/>
      <c r="E191" s="106"/>
      <c r="F191" s="106"/>
      <c r="G191" s="106"/>
      <c r="H191" s="106"/>
      <c r="I191" s="107"/>
      <c r="J191" s="106"/>
      <c r="L191" s="106"/>
      <c r="M191" s="106"/>
      <c r="N191" s="53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117"/>
    </row>
    <row r="192" spans="1:26" x14ac:dyDescent="0.2">
      <c r="A192" s="105"/>
      <c r="B192" s="106"/>
      <c r="C192" s="106"/>
      <c r="D192" s="106"/>
      <c r="E192" s="106"/>
      <c r="F192" s="106"/>
      <c r="G192" s="106"/>
      <c r="H192" s="106"/>
      <c r="I192" s="107"/>
      <c r="J192" s="106"/>
      <c r="L192" s="106"/>
      <c r="M192" s="106"/>
      <c r="N192" s="53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117"/>
    </row>
    <row r="193" spans="1:26" x14ac:dyDescent="0.2">
      <c r="A193" s="105"/>
      <c r="B193" s="106"/>
      <c r="C193" s="106"/>
      <c r="D193" s="106"/>
      <c r="E193" s="106"/>
      <c r="F193" s="106"/>
      <c r="G193" s="106"/>
      <c r="H193" s="106"/>
      <c r="I193" s="107"/>
      <c r="J193" s="114"/>
      <c r="L193" s="106"/>
      <c r="M193" s="106"/>
      <c r="N193" s="115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117"/>
    </row>
    <row r="194" spans="1:26" x14ac:dyDescent="0.2">
      <c r="A194" s="101" t="s">
        <v>94</v>
      </c>
      <c r="B194" s="102"/>
      <c r="C194" s="102"/>
      <c r="D194" s="104"/>
      <c r="E194" s="104"/>
      <c r="F194" s="104"/>
      <c r="G194" s="104"/>
      <c r="H194" s="104"/>
      <c r="I194" s="103"/>
      <c r="J194" s="105"/>
      <c r="K194" s="53"/>
      <c r="L194" s="53"/>
      <c r="M194" s="106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117"/>
    </row>
    <row r="195" spans="1:26" x14ac:dyDescent="0.2">
      <c r="A195" s="123"/>
      <c r="B195" s="106"/>
      <c r="C195" s="106"/>
      <c r="D195" s="106"/>
      <c r="E195" s="106"/>
      <c r="F195" s="106"/>
      <c r="G195" s="106"/>
      <c r="H195" s="106"/>
      <c r="I195" s="124"/>
      <c r="J195" s="120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117"/>
    </row>
    <row r="196" spans="1:26" x14ac:dyDescent="0.2">
      <c r="A196" s="123"/>
      <c r="B196" s="106"/>
      <c r="C196" s="106"/>
      <c r="D196" s="106"/>
      <c r="E196" s="106"/>
      <c r="F196" s="106"/>
      <c r="G196" s="106"/>
      <c r="H196" s="106"/>
      <c r="I196" s="124"/>
      <c r="J196" s="120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117"/>
    </row>
    <row r="197" spans="1:26" x14ac:dyDescent="0.2">
      <c r="A197" s="123"/>
      <c r="B197" s="106"/>
      <c r="C197" s="106"/>
      <c r="D197" s="106"/>
      <c r="E197" s="106"/>
      <c r="F197" s="106"/>
      <c r="G197" s="106"/>
      <c r="H197" s="106"/>
      <c r="I197" s="124"/>
      <c r="J197" s="120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117"/>
    </row>
    <row r="198" spans="1:26" x14ac:dyDescent="0.2">
      <c r="A198" s="123"/>
      <c r="B198" s="106"/>
      <c r="C198" s="106"/>
      <c r="D198" s="106"/>
      <c r="E198" s="106"/>
      <c r="F198" s="106"/>
      <c r="G198" s="106"/>
      <c r="H198" s="106"/>
      <c r="I198" s="124"/>
      <c r="J198" s="120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117"/>
    </row>
    <row r="199" spans="1:26" x14ac:dyDescent="0.2">
      <c r="A199" s="123"/>
      <c r="B199" s="106"/>
      <c r="C199" s="106"/>
      <c r="D199" s="106"/>
      <c r="E199" s="106"/>
      <c r="F199" s="106"/>
      <c r="G199" s="106"/>
      <c r="H199" s="106"/>
      <c r="I199" s="124"/>
      <c r="J199" s="120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117"/>
    </row>
    <row r="200" spans="1:26" x14ac:dyDescent="0.2">
      <c r="A200" s="123"/>
      <c r="B200" s="106"/>
      <c r="C200" s="106"/>
      <c r="D200" s="106"/>
      <c r="E200" s="106"/>
      <c r="F200" s="106"/>
      <c r="G200" s="106"/>
      <c r="H200" s="106"/>
      <c r="I200" s="124"/>
      <c r="J200" s="120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117"/>
    </row>
    <row r="201" spans="1:26" x14ac:dyDescent="0.2">
      <c r="A201" s="123"/>
      <c r="B201" s="106"/>
      <c r="C201" s="106"/>
      <c r="D201" s="106"/>
      <c r="E201" s="106"/>
      <c r="F201" s="106"/>
      <c r="G201" s="106"/>
      <c r="H201" s="106"/>
      <c r="I201" s="124"/>
      <c r="J201" s="120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117"/>
    </row>
    <row r="202" spans="1:26" x14ac:dyDescent="0.2">
      <c r="A202" s="123"/>
      <c r="B202" s="106"/>
      <c r="C202" s="106"/>
      <c r="D202" s="106"/>
      <c r="E202" s="106"/>
      <c r="F202" s="106"/>
      <c r="G202" s="106"/>
      <c r="H202" s="106"/>
      <c r="I202" s="124"/>
      <c r="J202" s="120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117"/>
    </row>
    <row r="203" spans="1:26" x14ac:dyDescent="0.2">
      <c r="A203" s="123"/>
      <c r="B203" s="106"/>
      <c r="C203" s="106"/>
      <c r="D203" s="106"/>
      <c r="E203" s="106"/>
      <c r="F203" s="106"/>
      <c r="G203" s="106"/>
      <c r="H203" s="106"/>
      <c r="I203" s="124"/>
      <c r="J203" s="120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117"/>
    </row>
    <row r="204" spans="1:26" x14ac:dyDescent="0.2">
      <c r="A204" s="123"/>
      <c r="B204" s="106"/>
      <c r="C204" s="106"/>
      <c r="D204" s="106"/>
      <c r="E204" s="106"/>
      <c r="F204" s="106"/>
      <c r="G204" s="106"/>
      <c r="H204" s="106"/>
      <c r="I204" s="124"/>
      <c r="J204" s="120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117"/>
    </row>
    <row r="205" spans="1:26" x14ac:dyDescent="0.2">
      <c r="A205" s="123"/>
      <c r="B205" s="106"/>
      <c r="C205" s="106"/>
      <c r="D205" s="106"/>
      <c r="E205" s="106"/>
      <c r="F205" s="106"/>
      <c r="G205" s="106"/>
      <c r="H205" s="106"/>
      <c r="I205" s="124"/>
      <c r="J205" s="120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117"/>
    </row>
    <row r="206" spans="1:26" x14ac:dyDescent="0.2">
      <c r="A206" s="123"/>
      <c r="B206" s="106"/>
      <c r="C206" s="106"/>
      <c r="D206" s="106"/>
      <c r="E206" s="106"/>
      <c r="F206" s="106"/>
      <c r="G206" s="106"/>
      <c r="H206" s="106"/>
      <c r="I206" s="124"/>
      <c r="J206" s="120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117"/>
    </row>
    <row r="207" spans="1:26" x14ac:dyDescent="0.2">
      <c r="A207" s="123"/>
      <c r="B207" s="106"/>
      <c r="C207" s="106"/>
      <c r="D207" s="106"/>
      <c r="E207" s="106"/>
      <c r="F207" s="106"/>
      <c r="G207" s="106"/>
      <c r="H207" s="106"/>
      <c r="I207" s="124"/>
      <c r="J207" s="105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117"/>
    </row>
    <row r="208" spans="1:26" x14ac:dyDescent="0.2">
      <c r="A208" s="125"/>
      <c r="B208" s="126"/>
      <c r="C208" s="126"/>
      <c r="D208" s="126"/>
      <c r="E208" s="126"/>
      <c r="F208" s="126"/>
      <c r="G208" s="126"/>
      <c r="H208" s="126"/>
      <c r="I208" s="127"/>
      <c r="J208" s="128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30"/>
    </row>
  </sheetData>
  <mergeCells count="12">
    <mergeCell ref="O132:Q132"/>
    <mergeCell ref="O165:Q165"/>
    <mergeCell ref="O50:Q50"/>
    <mergeCell ref="O7:Q7"/>
    <mergeCell ref="O64:Q64"/>
    <mergeCell ref="O99:Q99"/>
    <mergeCell ref="O118:Q118"/>
    <mergeCell ref="O108:Q108"/>
    <mergeCell ref="W2:Z2"/>
    <mergeCell ref="S2:V2"/>
    <mergeCell ref="N2:R2"/>
    <mergeCell ref="O40:Q40"/>
  </mergeCells>
  <phoneticPr fontId="2"/>
  <pageMargins left="0.78740157480314965" right="0.78740157480314965" top="0.70866141732283472" bottom="0.78740157480314965" header="0.51181102362204722" footer="0.51181102362204722"/>
  <pageSetup paperSize="9" scale="96" fitToWidth="0" fitToHeight="0" orientation="landscape" horizontalDpi="300" verticalDpi="300" r:id="rId1"/>
  <headerFooter alignWithMargins="0">
    <oddHeader>&amp;L&amp;10&amp;F&amp;C&amp;10&amp;A&amp;R&amp;10印刷日：&amp;D</oddHeader>
    <oddFooter>&amp;L&amp;10CONFIDENTIAL&amp;C&amp;10株式会社 電通国際情報サービス&amp;R&amp;10&amp;P</oddFooter>
  </headerFooter>
  <rowBreaks count="5" manualBreakCount="5">
    <brk id="38" max="16383" man="1"/>
    <brk id="62" max="16383" man="1"/>
    <brk id="96" max="16383" man="1"/>
    <brk id="162" max="16383" man="1"/>
    <brk id="193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ACD9EBEE2C42D4AB65B6A1186DB49BC" ma:contentTypeVersion="16" ma:contentTypeDescription="新しいドキュメントを作成します。" ma:contentTypeScope="" ma:versionID="e0ef7c233b85cc385374973a14af0240">
  <xsd:schema xmlns:xsd="http://www.w3.org/2001/XMLSchema" xmlns:xs="http://www.w3.org/2001/XMLSchema" xmlns:p="http://schemas.microsoft.com/office/2006/metadata/properties" xmlns:ns2="846a5916-ea51-4caf-8b26-59905a5247ab" xmlns:ns3="ad2c20aa-72f2-439e-8078-77083315cf8c" targetNamespace="http://schemas.microsoft.com/office/2006/metadata/properties" ma:root="true" ma:fieldsID="5d644766782f161bed31ee5592a66cb3" ns2:_="" ns3:_="">
    <xsd:import namespace="846a5916-ea51-4caf-8b26-59905a5247ab"/>
    <xsd:import namespace="ad2c20aa-72f2-439e-8078-77083315c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a5916-ea51-4caf-8b26-59905a524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20aa-72f2-439e-8078-77083315cf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6ff14b-96dc-40cb-bb08-8bacc05ec04b}" ma:internalName="TaxCatchAll" ma:showField="CatchAllData" ma:web="ad2c20aa-72f2-439e-8078-77083315c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6a5916-ea51-4caf-8b26-59905a5247ab">
      <Terms xmlns="http://schemas.microsoft.com/office/infopath/2007/PartnerControls"/>
    </lcf76f155ced4ddcb4097134ff3c332f>
    <TaxCatchAll xmlns="ad2c20aa-72f2-439e-8078-77083315cf8c"/>
  </documentManagement>
</p:properties>
</file>

<file path=customXml/itemProps1.xml><?xml version="1.0" encoding="utf-8"?>
<ds:datastoreItem xmlns:ds="http://schemas.openxmlformats.org/officeDocument/2006/customXml" ds:itemID="{5CCB8E6B-B440-4377-AA0B-64A888FF4E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9542B5-2A4D-45C2-9F7D-BC4AD0E5B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a5916-ea51-4caf-8b26-59905a5247ab"/>
    <ds:schemaRef ds:uri="ad2c20aa-72f2-439e-8078-77083315c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A47433-44D2-46C6-902A-9018342C6EA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11</vt:i4>
      </vt:variant>
    </vt:vector>
  </HeadingPairs>
  <TitlesOfParts>
    <vt:vector size="18" baseType="lpstr">
      <vt:lpstr>機能概要</vt:lpstr>
      <vt:lpstr>既存画面レイアウト</vt:lpstr>
      <vt:lpstr>要求仕様</vt:lpstr>
      <vt:lpstr>画面レイアウト</vt:lpstr>
      <vt:lpstr>画面構成</vt:lpstr>
      <vt:lpstr>コンポーネント一覧</vt:lpstr>
      <vt:lpstr>アクション</vt:lpstr>
      <vt:lpstr>コンポーネント一覧!Print_Area</vt:lpstr>
      <vt:lpstr>画面レイアウト!Print_Area</vt:lpstr>
      <vt:lpstr>既存画面レイアウト!Print_Area</vt:lpstr>
      <vt:lpstr>機能概要!Print_Area</vt:lpstr>
      <vt:lpstr>要求仕様!Print_Area</vt:lpstr>
      <vt:lpstr>アクション!Print_Titles</vt:lpstr>
      <vt:lpstr>コンポーネント一覧!Print_Titles</vt:lpstr>
      <vt:lpstr>画面レイアウト!Print_Titles</vt:lpstr>
      <vt:lpstr>画面構成!Print_Titles</vt:lpstr>
      <vt:lpstr>機能概要!Print_Titles</vt:lpstr>
      <vt:lpstr>要求仕様!Print_Titles</vt:lpstr>
    </vt:vector>
  </TitlesOfParts>
  <Company> システムソリューショングループ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xyuchida</dc:creator>
  <cp:lastModifiedBy>高松 颯大 Sota Takamatsu</cp:lastModifiedBy>
  <cp:lastPrinted>2007-01-19T04:16:41Z</cp:lastPrinted>
  <dcterms:created xsi:type="dcterms:W3CDTF">2006-06-06T09:39:04Z</dcterms:created>
  <dcterms:modified xsi:type="dcterms:W3CDTF">2025-12-27T12:51:50Z</dcterms:modified>
</cp:coreProperties>
</file>